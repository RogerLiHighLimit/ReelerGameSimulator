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MyGameRef\IDreamADreamProject\src\Game\DesignDocuments\"/>
    </mc:Choice>
  </mc:AlternateContent>
  <xr:revisionPtr revIDLastSave="0" documentId="13_ncr:1_{DE7B6487-A9D3-44FF-B749-BAA16B9096A9}" xr6:coauthVersionLast="47" xr6:coauthVersionMax="47" xr10:uidLastSave="{00000000-0000-0000-0000-000000000000}"/>
  <bookViews>
    <workbookView xWindow="-110" yWindow="-110" windowWidth="38620" windowHeight="21100" activeTab="9" xr2:uid="{00000000-000D-0000-FFFF-FFFF00000000}"/>
  </bookViews>
  <sheets>
    <sheet name="Step-1" sheetId="1" r:id="rId1"/>
    <sheet name="Step-2" sheetId="2" r:id="rId2"/>
    <sheet name="Step-2B" sheetId="3" r:id="rId3"/>
    <sheet name="Step-3" sheetId="4" r:id="rId4"/>
    <sheet name="Step-4" sheetId="5" r:id="rId5"/>
    <sheet name="Step-5" sheetId="6" r:id="rId6"/>
    <sheet name="Step-6" sheetId="7" r:id="rId7"/>
    <sheet name="Step-7" sheetId="8" r:id="rId8"/>
    <sheet name="Step-7-2" sheetId="9" r:id="rId9"/>
    <sheet name="Step-9-AllRSNotWilds" sheetId="10" r:id="rId10"/>
  </sheets>
  <definedNames>
    <definedName name="NonLinePayTable">'Step-9-AllRSNotWilds'!$A$13:$F$17</definedName>
    <definedName name="NumRows">'Step-9-AllRSNotWilds'!$D$22</definedName>
    <definedName name="Paytable">'Step-9-AllRSNotWilds'!$B$25:$D$35</definedName>
    <definedName name="Total">'Step-9-AllRSNotWilds'!$A$18:$F$18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5" i="10" l="1"/>
  <c r="K25" i="10"/>
  <c r="J25" i="10"/>
  <c r="I25" i="10"/>
  <c r="J7" i="10"/>
  <c r="J6" i="10"/>
  <c r="C18" i="10"/>
  <c r="D18" i="10"/>
  <c r="E18" i="10"/>
  <c r="L10" i="10" s="1"/>
  <c r="F18" i="10"/>
  <c r="B18" i="10"/>
  <c r="AG41" i="10"/>
  <c r="AH41" i="10" s="1"/>
  <c r="AG36" i="10"/>
  <c r="AH36" i="10" s="1"/>
  <c r="AG37" i="10"/>
  <c r="AH37" i="10" s="1"/>
  <c r="AG38" i="10"/>
  <c r="AH38" i="10" s="1"/>
  <c r="AG39" i="10"/>
  <c r="AH39" i="10" s="1"/>
  <c r="AG35" i="10"/>
  <c r="AH35" i="10" s="1"/>
  <c r="AG25" i="10"/>
  <c r="AH25" i="10" s="1"/>
  <c r="AG26" i="10"/>
  <c r="AH26" i="10" s="1"/>
  <c r="AG27" i="10"/>
  <c r="AH27" i="10" s="1"/>
  <c r="AG28" i="10"/>
  <c r="AH28" i="10" s="1"/>
  <c r="AG29" i="10"/>
  <c r="AH29" i="10" s="1"/>
  <c r="AG30" i="10"/>
  <c r="AH30" i="10" s="1"/>
  <c r="AG31" i="10"/>
  <c r="AH31" i="10" s="1"/>
  <c r="AG32" i="10"/>
  <c r="AH32" i="10" s="1"/>
  <c r="AG33" i="10"/>
  <c r="AH33" i="10" s="1"/>
  <c r="AG24" i="10"/>
  <c r="AH24" i="10" s="1"/>
  <c r="AG14" i="10"/>
  <c r="AH14" i="10" s="1"/>
  <c r="AG15" i="10"/>
  <c r="AH15" i="10" s="1"/>
  <c r="AG16" i="10"/>
  <c r="AH16" i="10" s="1"/>
  <c r="AG17" i="10"/>
  <c r="AH17" i="10" s="1"/>
  <c r="AG18" i="10"/>
  <c r="AH18" i="10" s="1"/>
  <c r="AG19" i="10"/>
  <c r="AH19" i="10" s="1"/>
  <c r="AG20" i="10"/>
  <c r="AH20" i="10" s="1"/>
  <c r="AG21" i="10"/>
  <c r="AH21" i="10" s="1"/>
  <c r="AG22" i="10"/>
  <c r="AH22" i="10" s="1"/>
  <c r="AG13" i="10"/>
  <c r="AH13" i="10" s="1"/>
  <c r="AG8" i="10"/>
  <c r="AH8" i="10" s="1"/>
  <c r="AG9" i="10"/>
  <c r="AH9" i="10" s="1"/>
  <c r="AG10" i="10"/>
  <c r="AH10" i="10" s="1"/>
  <c r="AG11" i="10"/>
  <c r="AH11" i="10" s="1"/>
  <c r="AG7" i="10"/>
  <c r="AH7" i="10" s="1"/>
  <c r="AG5" i="10"/>
  <c r="V20" i="10"/>
  <c r="W21" i="10"/>
  <c r="X23" i="10"/>
  <c r="Y21" i="10"/>
  <c r="Y23" i="10"/>
  <c r="Y20" i="10"/>
  <c r="Z21" i="10"/>
  <c r="Z23" i="10"/>
  <c r="Z20" i="10"/>
  <c r="X18" i="10"/>
  <c r="X17" i="10"/>
  <c r="W18" i="10"/>
  <c r="W16" i="10"/>
  <c r="V17" i="10"/>
  <c r="V16" i="10"/>
  <c r="Z17" i="10"/>
  <c r="Z18" i="10"/>
  <c r="Z16" i="10"/>
  <c r="X14" i="10"/>
  <c r="Y14" i="10"/>
  <c r="W14" i="10"/>
  <c r="Y13" i="10"/>
  <c r="X13" i="10"/>
  <c r="Z8" i="10"/>
  <c r="Y8" i="10"/>
  <c r="X8" i="10"/>
  <c r="W8" i="10"/>
  <c r="Z7" i="10"/>
  <c r="Y7" i="10"/>
  <c r="V6" i="10"/>
  <c r="W6" i="10"/>
  <c r="Z5" i="10"/>
  <c r="X4" i="10"/>
  <c r="W4" i="10"/>
  <c r="Y4" i="10"/>
  <c r="X7" i="10"/>
  <c r="V13" i="10"/>
  <c r="V7" i="10"/>
  <c r="Y12" i="10"/>
  <c r="Z6" i="10"/>
  <c r="Y6" i="10"/>
  <c r="W12" i="10"/>
  <c r="V12" i="10"/>
  <c r="X11" i="10"/>
  <c r="W11" i="10"/>
  <c r="V11" i="10"/>
  <c r="X5" i="10"/>
  <c r="W5" i="10"/>
  <c r="V5" i="10"/>
  <c r="V4" i="10"/>
  <c r="W2" i="10"/>
  <c r="X2" i="10"/>
  <c r="Y2" i="10"/>
  <c r="Z2" i="10"/>
  <c r="V2" i="10"/>
  <c r="AA2" i="10" s="1"/>
  <c r="J9" i="10"/>
  <c r="K9" i="10"/>
  <c r="J10" i="10"/>
  <c r="K10" i="10"/>
  <c r="I10" i="10"/>
  <c r="I9" i="10"/>
  <c r="J57" i="10"/>
  <c r="K57" i="10"/>
  <c r="J58" i="10"/>
  <c r="K58" i="10"/>
  <c r="I58" i="10"/>
  <c r="I57" i="10"/>
  <c r="J55" i="10"/>
  <c r="K55" i="10"/>
  <c r="L55" i="10"/>
  <c r="J56" i="10"/>
  <c r="K56" i="10"/>
  <c r="L56" i="10"/>
  <c r="I55" i="10"/>
  <c r="I56" i="10"/>
  <c r="J53" i="10"/>
  <c r="K53" i="10"/>
  <c r="L53" i="10"/>
  <c r="M53" i="10"/>
  <c r="J54" i="10"/>
  <c r="K54" i="10"/>
  <c r="L54" i="10"/>
  <c r="M54" i="10"/>
  <c r="I54" i="10"/>
  <c r="I53" i="10"/>
  <c r="J51" i="10"/>
  <c r="K51" i="10"/>
  <c r="J52" i="10"/>
  <c r="K52" i="10"/>
  <c r="I52" i="10"/>
  <c r="I51" i="10"/>
  <c r="J49" i="10"/>
  <c r="K49" i="10"/>
  <c r="L49" i="10"/>
  <c r="J50" i="10"/>
  <c r="K50" i="10"/>
  <c r="L50" i="10"/>
  <c r="I50" i="10"/>
  <c r="I49" i="10"/>
  <c r="J47" i="10"/>
  <c r="K47" i="10"/>
  <c r="L47" i="10"/>
  <c r="M47" i="10"/>
  <c r="J48" i="10"/>
  <c r="K48" i="10"/>
  <c r="L48" i="10"/>
  <c r="M48" i="10"/>
  <c r="I48" i="10"/>
  <c r="N48" i="10" s="1"/>
  <c r="I47" i="10"/>
  <c r="J45" i="10"/>
  <c r="K45" i="10"/>
  <c r="J46" i="10"/>
  <c r="K46" i="10"/>
  <c r="I46" i="10"/>
  <c r="I45" i="10"/>
  <c r="J43" i="10"/>
  <c r="K43" i="10"/>
  <c r="L43" i="10"/>
  <c r="J44" i="10"/>
  <c r="K44" i="10"/>
  <c r="L44" i="10"/>
  <c r="I44" i="10"/>
  <c r="I43" i="10"/>
  <c r="J41" i="10"/>
  <c r="K41" i="10"/>
  <c r="L41" i="10"/>
  <c r="M41" i="10"/>
  <c r="J42" i="10"/>
  <c r="K42" i="10"/>
  <c r="L42" i="10"/>
  <c r="M42" i="10"/>
  <c r="I42" i="10"/>
  <c r="N42" i="10" s="1"/>
  <c r="I41" i="10"/>
  <c r="J39" i="10"/>
  <c r="K39" i="10"/>
  <c r="J40" i="10"/>
  <c r="K40" i="10"/>
  <c r="I40" i="10"/>
  <c r="I39" i="10"/>
  <c r="J37" i="10"/>
  <c r="K37" i="10"/>
  <c r="L37" i="10"/>
  <c r="J38" i="10"/>
  <c r="K38" i="10"/>
  <c r="L38" i="10"/>
  <c r="I38" i="10"/>
  <c r="I37" i="10"/>
  <c r="J35" i="10"/>
  <c r="K35" i="10"/>
  <c r="L35" i="10"/>
  <c r="M35" i="10"/>
  <c r="J36" i="10"/>
  <c r="K36" i="10"/>
  <c r="L36" i="10"/>
  <c r="M36" i="10"/>
  <c r="I36" i="10"/>
  <c r="I35" i="10"/>
  <c r="J34" i="10"/>
  <c r="K34" i="10"/>
  <c r="I34" i="10"/>
  <c r="J33" i="10"/>
  <c r="K33" i="10"/>
  <c r="I33" i="10"/>
  <c r="J32" i="10"/>
  <c r="K32" i="10"/>
  <c r="L32" i="10"/>
  <c r="I32" i="10"/>
  <c r="J31" i="10"/>
  <c r="K31" i="10"/>
  <c r="L31" i="10"/>
  <c r="I31" i="10"/>
  <c r="J30" i="10"/>
  <c r="K30" i="10"/>
  <c r="L30" i="10"/>
  <c r="M30" i="10"/>
  <c r="I30" i="10"/>
  <c r="J29" i="10"/>
  <c r="K29" i="10"/>
  <c r="L29" i="10"/>
  <c r="M29" i="10"/>
  <c r="I29" i="10"/>
  <c r="J28" i="10"/>
  <c r="K28" i="10"/>
  <c r="I28" i="10"/>
  <c r="J27" i="10"/>
  <c r="K27" i="10"/>
  <c r="I27" i="10"/>
  <c r="J26" i="10"/>
  <c r="K26" i="10"/>
  <c r="L26" i="10"/>
  <c r="I26" i="10"/>
  <c r="J24" i="10"/>
  <c r="K24" i="10"/>
  <c r="L24" i="10"/>
  <c r="M24" i="10"/>
  <c r="I24" i="10"/>
  <c r="J23" i="10"/>
  <c r="K23" i="10"/>
  <c r="L23" i="10"/>
  <c r="M23" i="10"/>
  <c r="I23" i="10"/>
  <c r="J22" i="10"/>
  <c r="K22" i="10"/>
  <c r="I22" i="10"/>
  <c r="J21" i="10"/>
  <c r="K21" i="10"/>
  <c r="I21" i="10"/>
  <c r="J20" i="10"/>
  <c r="K20" i="10"/>
  <c r="L20" i="10"/>
  <c r="I20" i="10"/>
  <c r="J19" i="10"/>
  <c r="K19" i="10"/>
  <c r="L19" i="10"/>
  <c r="I19" i="10"/>
  <c r="J18" i="10"/>
  <c r="K18" i="10"/>
  <c r="L18" i="10"/>
  <c r="M18" i="10"/>
  <c r="I18" i="10"/>
  <c r="J17" i="10"/>
  <c r="K17" i="10"/>
  <c r="L17" i="10"/>
  <c r="M17" i="10"/>
  <c r="I17" i="10"/>
  <c r="J16" i="10"/>
  <c r="K16" i="10"/>
  <c r="I16" i="10"/>
  <c r="J15" i="10"/>
  <c r="K15" i="10"/>
  <c r="I15" i="10"/>
  <c r="J14" i="10"/>
  <c r="K14" i="10"/>
  <c r="L14" i="10"/>
  <c r="I14" i="10"/>
  <c r="J13" i="10"/>
  <c r="K13" i="10"/>
  <c r="L13" i="10"/>
  <c r="I13" i="10"/>
  <c r="J12" i="10"/>
  <c r="K12" i="10"/>
  <c r="L12" i="10"/>
  <c r="M12" i="10"/>
  <c r="I12" i="10"/>
  <c r="J11" i="10"/>
  <c r="K11" i="10"/>
  <c r="L11" i="10"/>
  <c r="M11" i="10"/>
  <c r="I11" i="10"/>
  <c r="K3" i="10"/>
  <c r="K4" i="10"/>
  <c r="K8" i="10"/>
  <c r="L8" i="10"/>
  <c r="L3" i="10"/>
  <c r="J8" i="10"/>
  <c r="I7" i="10"/>
  <c r="M6" i="10"/>
  <c r="L6" i="10"/>
  <c r="K6" i="10"/>
  <c r="I5" i="10"/>
  <c r="L4" i="10"/>
  <c r="L7" i="10"/>
  <c r="K7" i="10"/>
  <c r="I6" i="10"/>
  <c r="M3" i="10"/>
  <c r="K5" i="10"/>
  <c r="M5" i="10"/>
  <c r="L5" i="10"/>
  <c r="J5" i="10"/>
  <c r="J3" i="10"/>
  <c r="M2" i="10"/>
  <c r="L2" i="10"/>
  <c r="K2" i="10"/>
  <c r="J2" i="10"/>
  <c r="J4" i="10" s="1"/>
  <c r="I2" i="10"/>
  <c r="I8" i="10" s="1"/>
  <c r="V15" i="9"/>
  <c r="V16" i="9"/>
  <c r="V17" i="9"/>
  <c r="J64" i="8"/>
  <c r="J63" i="8"/>
  <c r="J62" i="8"/>
  <c r="K46" i="7"/>
  <c r="T16" i="9"/>
  <c r="T15" i="9"/>
  <c r="L8" i="9"/>
  <c r="L6" i="9"/>
  <c r="L7" i="9"/>
  <c r="K6" i="9"/>
  <c r="K7" i="9"/>
  <c r="K8" i="9"/>
  <c r="J8" i="9"/>
  <c r="J7" i="9"/>
  <c r="J6" i="9"/>
  <c r="L5" i="9"/>
  <c r="K5" i="9"/>
  <c r="J5" i="9"/>
  <c r="L2" i="9"/>
  <c r="K2" i="9"/>
  <c r="J2" i="9"/>
  <c r="B63" i="9"/>
  <c r="G50" i="9"/>
  <c r="F18" i="9"/>
  <c r="E18" i="9"/>
  <c r="D18" i="9"/>
  <c r="C18" i="9"/>
  <c r="B18" i="9"/>
  <c r="BI63" i="8"/>
  <c r="BI59" i="8"/>
  <c r="BI51" i="8"/>
  <c r="BI42" i="8"/>
  <c r="BI38" i="8"/>
  <c r="BI30" i="8"/>
  <c r="BI21" i="8"/>
  <c r="BI17" i="8"/>
  <c r="BI9" i="8"/>
  <c r="AT63" i="8"/>
  <c r="AT59" i="8"/>
  <c r="AT51" i="8"/>
  <c r="AT38" i="8"/>
  <c r="AT30" i="8"/>
  <c r="AT42" i="8"/>
  <c r="AT21" i="8"/>
  <c r="AT17" i="8"/>
  <c r="AT9" i="8"/>
  <c r="AE63" i="8"/>
  <c r="AE59" i="8"/>
  <c r="AE51" i="8"/>
  <c r="AE21" i="8"/>
  <c r="AE42" i="8"/>
  <c r="AE38" i="8"/>
  <c r="AE30" i="8"/>
  <c r="AE17" i="8"/>
  <c r="AE9" i="8"/>
  <c r="BC45" i="8"/>
  <c r="BC46" i="8"/>
  <c r="BC47" i="8"/>
  <c r="BC48" i="8"/>
  <c r="BC49" i="8"/>
  <c r="BC50" i="8"/>
  <c r="BC44" i="8"/>
  <c r="BB55" i="8"/>
  <c r="BB53" i="8"/>
  <c r="BB52" i="8"/>
  <c r="BB47" i="8"/>
  <c r="BB45" i="8"/>
  <c r="BB44" i="8"/>
  <c r="BA60" i="8"/>
  <c r="BA56" i="8"/>
  <c r="BA54" i="8"/>
  <c r="BA52" i="8"/>
  <c r="BA48" i="8"/>
  <c r="BA46" i="8"/>
  <c r="BA44" i="8"/>
  <c r="AZ61" i="8"/>
  <c r="AZ57" i="8"/>
  <c r="AZ54" i="8"/>
  <c r="AZ53" i="8"/>
  <c r="AZ49" i="8"/>
  <c r="AZ46" i="8"/>
  <c r="AZ45" i="8"/>
  <c r="AY45" i="8"/>
  <c r="AY46" i="8"/>
  <c r="AY47" i="8"/>
  <c r="AY48" i="8"/>
  <c r="AY49" i="8"/>
  <c r="AY50" i="8"/>
  <c r="AY52" i="8"/>
  <c r="AY53" i="8"/>
  <c r="AY54" i="8"/>
  <c r="AY55" i="8"/>
  <c r="AY56" i="8"/>
  <c r="AY57" i="8"/>
  <c r="AY58" i="8"/>
  <c r="AY60" i="8"/>
  <c r="AY61" i="8"/>
  <c r="AY62" i="8"/>
  <c r="AY44" i="8"/>
  <c r="BC24" i="8"/>
  <c r="BC25" i="8"/>
  <c r="BC26" i="8"/>
  <c r="BC27" i="8"/>
  <c r="BC28" i="8"/>
  <c r="BC29" i="8"/>
  <c r="BC23" i="8"/>
  <c r="BB34" i="8"/>
  <c r="BB32" i="8"/>
  <c r="BB31" i="8"/>
  <c r="BB26" i="8"/>
  <c r="BB24" i="8"/>
  <c r="BB23" i="8"/>
  <c r="BA39" i="8"/>
  <c r="BA35" i="8"/>
  <c r="BA33" i="8"/>
  <c r="BA31" i="8"/>
  <c r="BA27" i="8"/>
  <c r="BA25" i="8"/>
  <c r="BA23" i="8"/>
  <c r="AZ40" i="8"/>
  <c r="AZ36" i="8"/>
  <c r="AZ33" i="8"/>
  <c r="AZ32" i="8"/>
  <c r="AZ28" i="8"/>
  <c r="AZ25" i="8"/>
  <c r="AZ24" i="8"/>
  <c r="AY24" i="8"/>
  <c r="AY25" i="8"/>
  <c r="AY26" i="8"/>
  <c r="AY27" i="8"/>
  <c r="AY28" i="8"/>
  <c r="AY29" i="8"/>
  <c r="AY31" i="8"/>
  <c r="AY32" i="8"/>
  <c r="AY33" i="8"/>
  <c r="AY34" i="8"/>
  <c r="AY35" i="8"/>
  <c r="AY36" i="8"/>
  <c r="AY37" i="8"/>
  <c r="AY39" i="8"/>
  <c r="AY40" i="8"/>
  <c r="AY41" i="8"/>
  <c r="AY23" i="8"/>
  <c r="BC3" i="8"/>
  <c r="BC4" i="8"/>
  <c r="BC5" i="8"/>
  <c r="BC6" i="8"/>
  <c r="BC7" i="8"/>
  <c r="BC8" i="8"/>
  <c r="BC2" i="8"/>
  <c r="BB13" i="8"/>
  <c r="BB11" i="8"/>
  <c r="BB10" i="8"/>
  <c r="BB5" i="8"/>
  <c r="BB3" i="8"/>
  <c r="BB2" i="8"/>
  <c r="BA18" i="8"/>
  <c r="BA14" i="8"/>
  <c r="BA12" i="8"/>
  <c r="BA10" i="8"/>
  <c r="BA6" i="8"/>
  <c r="BA4" i="8"/>
  <c r="BA2" i="8"/>
  <c r="AZ19" i="8"/>
  <c r="AZ15" i="8"/>
  <c r="AZ12" i="8"/>
  <c r="AZ11" i="8"/>
  <c r="AZ7" i="8"/>
  <c r="AZ4" i="8"/>
  <c r="AZ3" i="8"/>
  <c r="AY19" i="8"/>
  <c r="AY20" i="8"/>
  <c r="AY11" i="8"/>
  <c r="AY12" i="8"/>
  <c r="AY13" i="8"/>
  <c r="AY14" i="8"/>
  <c r="AY15" i="8"/>
  <c r="AY16" i="8"/>
  <c r="AY18" i="8"/>
  <c r="AY10" i="8"/>
  <c r="AY3" i="8"/>
  <c r="AY4" i="8"/>
  <c r="AY5" i="8"/>
  <c r="AY6" i="8"/>
  <c r="AY7" i="8"/>
  <c r="AY8" i="8"/>
  <c r="AY2" i="8"/>
  <c r="AN45" i="8"/>
  <c r="AN46" i="8"/>
  <c r="AN47" i="8"/>
  <c r="AN48" i="8"/>
  <c r="AN49" i="8"/>
  <c r="AN50" i="8"/>
  <c r="AN44" i="8"/>
  <c r="AM55" i="8"/>
  <c r="AM53" i="8"/>
  <c r="AM52" i="8"/>
  <c r="AM47" i="8"/>
  <c r="AM45" i="8"/>
  <c r="AM44" i="8"/>
  <c r="AL60" i="8"/>
  <c r="AL56" i="8"/>
  <c r="AL54" i="8"/>
  <c r="AL52" i="8"/>
  <c r="AL48" i="8"/>
  <c r="AL46" i="8"/>
  <c r="AL44" i="8"/>
  <c r="AK61" i="8"/>
  <c r="AK57" i="8"/>
  <c r="AK54" i="8"/>
  <c r="AK53" i="8"/>
  <c r="AK49" i="8"/>
  <c r="AK46" i="8"/>
  <c r="AK45" i="8"/>
  <c r="AJ61" i="8"/>
  <c r="AJ62" i="8"/>
  <c r="AJ53" i="8"/>
  <c r="AJ54" i="8"/>
  <c r="AJ55" i="8"/>
  <c r="AJ56" i="8"/>
  <c r="AJ57" i="8"/>
  <c r="AJ58" i="8"/>
  <c r="AJ60" i="8"/>
  <c r="AJ52" i="8"/>
  <c r="AJ45" i="8"/>
  <c r="AJ46" i="8"/>
  <c r="AJ47" i="8"/>
  <c r="AJ48" i="8"/>
  <c r="AJ49" i="8"/>
  <c r="AJ50" i="8"/>
  <c r="AJ44" i="8"/>
  <c r="AN24" i="8"/>
  <c r="AN25" i="8"/>
  <c r="AN26" i="8"/>
  <c r="AN27" i="8"/>
  <c r="AN28" i="8"/>
  <c r="AN29" i="8"/>
  <c r="AN23" i="8"/>
  <c r="BA62" i="8"/>
  <c r="AZ62" i="8"/>
  <c r="BA61" i="8"/>
  <c r="AZ60" i="8"/>
  <c r="BB58" i="8"/>
  <c r="BA58" i="8"/>
  <c r="AZ58" i="8"/>
  <c r="BB57" i="8"/>
  <c r="BA57" i="8"/>
  <c r="BB56" i="8"/>
  <c r="AZ56" i="8"/>
  <c r="BA55" i="8"/>
  <c r="AZ55" i="8"/>
  <c r="BB54" i="8"/>
  <c r="BA53" i="8"/>
  <c r="AZ52" i="8"/>
  <c r="BB50" i="8"/>
  <c r="BA50" i="8"/>
  <c r="AZ50" i="8"/>
  <c r="BB49" i="8"/>
  <c r="BA49" i="8"/>
  <c r="BB48" i="8"/>
  <c r="AZ48" i="8"/>
  <c r="BA47" i="8"/>
  <c r="AZ47" i="8"/>
  <c r="BB46" i="8"/>
  <c r="BD46" i="8" s="1"/>
  <c r="BA45" i="8"/>
  <c r="AZ44" i="8"/>
  <c r="BA41" i="8"/>
  <c r="AZ41" i="8"/>
  <c r="BA40" i="8"/>
  <c r="AZ39" i="8"/>
  <c r="BB37" i="8"/>
  <c r="BA37" i="8"/>
  <c r="AZ37" i="8"/>
  <c r="BB36" i="8"/>
  <c r="BA36" i="8"/>
  <c r="BB35" i="8"/>
  <c r="AZ35" i="8"/>
  <c r="BA34" i="8"/>
  <c r="AZ34" i="8"/>
  <c r="BB33" i="8"/>
  <c r="BA32" i="8"/>
  <c r="AZ31" i="8"/>
  <c r="BB29" i="8"/>
  <c r="BA29" i="8"/>
  <c r="AZ29" i="8"/>
  <c r="BB28" i="8"/>
  <c r="BA28" i="8"/>
  <c r="BB27" i="8"/>
  <c r="AZ27" i="8"/>
  <c r="BA26" i="8"/>
  <c r="AZ26" i="8"/>
  <c r="BB25" i="8"/>
  <c r="BA24" i="8"/>
  <c r="AZ23" i="8"/>
  <c r="BA20" i="8"/>
  <c r="AZ20" i="8"/>
  <c r="BA19" i="8"/>
  <c r="AZ18" i="8"/>
  <c r="BB16" i="8"/>
  <c r="BA16" i="8"/>
  <c r="AZ16" i="8"/>
  <c r="BB15" i="8"/>
  <c r="BA15" i="8"/>
  <c r="BB14" i="8"/>
  <c r="AZ14" i="8"/>
  <c r="BA13" i="8"/>
  <c r="AZ13" i="8"/>
  <c r="BB12" i="8"/>
  <c r="BA11" i="8"/>
  <c r="AZ10" i="8"/>
  <c r="BB8" i="8"/>
  <c r="BA8" i="8"/>
  <c r="AZ8" i="8"/>
  <c r="BB7" i="8"/>
  <c r="BA7" i="8"/>
  <c r="BD7" i="8"/>
  <c r="BB6" i="8"/>
  <c r="AZ6" i="8"/>
  <c r="BA5" i="8"/>
  <c r="AZ5" i="8"/>
  <c r="BB4" i="8"/>
  <c r="BD4" i="8" s="1"/>
  <c r="BA3" i="8"/>
  <c r="AZ2" i="8"/>
  <c r="AL62" i="8"/>
  <c r="AK62" i="8"/>
  <c r="AL61" i="8"/>
  <c r="AK60" i="8"/>
  <c r="AM58" i="8"/>
  <c r="AL58" i="8"/>
  <c r="AK58" i="8"/>
  <c r="AM57" i="8"/>
  <c r="AL57" i="8"/>
  <c r="AM56" i="8"/>
  <c r="AK56" i="8"/>
  <c r="AL55" i="8"/>
  <c r="AK55" i="8"/>
  <c r="AM54" i="8"/>
  <c r="AL53" i="8"/>
  <c r="AK52" i="8"/>
  <c r="AM50" i="8"/>
  <c r="AL50" i="8"/>
  <c r="AK50" i="8"/>
  <c r="AM49" i="8"/>
  <c r="AL49" i="8"/>
  <c r="AM48" i="8"/>
  <c r="AK48" i="8"/>
  <c r="AL47" i="8"/>
  <c r="AK47" i="8"/>
  <c r="AM46" i="8"/>
  <c r="AL45" i="8"/>
  <c r="AO45" i="8"/>
  <c r="AK44" i="8"/>
  <c r="AN3" i="8"/>
  <c r="AN4" i="8"/>
  <c r="AN5" i="8"/>
  <c r="AN6" i="8"/>
  <c r="AN7" i="8"/>
  <c r="AN8" i="8"/>
  <c r="AN2" i="8"/>
  <c r="AM34" i="8"/>
  <c r="AM32" i="8"/>
  <c r="AM31" i="8"/>
  <c r="AM26" i="8"/>
  <c r="AM24" i="8"/>
  <c r="AM23" i="8"/>
  <c r="AL39" i="8"/>
  <c r="AL35" i="8"/>
  <c r="AL33" i="8"/>
  <c r="AL31" i="8"/>
  <c r="AL27" i="8"/>
  <c r="AL25" i="8"/>
  <c r="AL23" i="8"/>
  <c r="AK40" i="8"/>
  <c r="AK36" i="8"/>
  <c r="AK33" i="8"/>
  <c r="AK32" i="8"/>
  <c r="AK28" i="8"/>
  <c r="AK25" i="8"/>
  <c r="AK24" i="8"/>
  <c r="AK23" i="8"/>
  <c r="AJ40" i="8"/>
  <c r="AJ41" i="8"/>
  <c r="AJ39" i="8"/>
  <c r="AJ32" i="8"/>
  <c r="AJ33" i="8"/>
  <c r="AJ34" i="8"/>
  <c r="AJ35" i="8"/>
  <c r="AJ36" i="8"/>
  <c r="AJ37" i="8"/>
  <c r="AJ31" i="8"/>
  <c r="AJ24" i="8"/>
  <c r="AJ25" i="8"/>
  <c r="AJ26" i="8"/>
  <c r="AJ27" i="8"/>
  <c r="AJ28" i="8"/>
  <c r="AJ29" i="8"/>
  <c r="AJ23" i="8"/>
  <c r="AL41" i="8"/>
  <c r="AK41" i="8"/>
  <c r="AL40" i="8"/>
  <c r="AK39" i="8"/>
  <c r="AM37" i="8"/>
  <c r="AL37" i="8"/>
  <c r="AK37" i="8"/>
  <c r="AM36" i="8"/>
  <c r="AL36" i="8"/>
  <c r="AM35" i="8"/>
  <c r="AK35" i="8"/>
  <c r="AL34" i="8"/>
  <c r="AK34" i="8"/>
  <c r="AM33" i="8"/>
  <c r="AL32" i="8"/>
  <c r="AK31" i="8"/>
  <c r="AM29" i="8"/>
  <c r="AL29" i="8"/>
  <c r="AK29" i="8"/>
  <c r="AM28" i="8"/>
  <c r="AL28" i="8"/>
  <c r="AM27" i="8"/>
  <c r="AK27" i="8"/>
  <c r="AO27" i="8"/>
  <c r="AL26" i="8"/>
  <c r="AK26" i="8"/>
  <c r="AM25" i="8"/>
  <c r="AL24" i="8"/>
  <c r="AM13" i="8"/>
  <c r="AM11" i="8"/>
  <c r="AM10" i="8"/>
  <c r="AM5" i="8"/>
  <c r="AM3" i="8"/>
  <c r="AM2" i="8"/>
  <c r="AL18" i="8"/>
  <c r="AL14" i="8"/>
  <c r="AL12" i="8"/>
  <c r="AL10" i="8"/>
  <c r="AL6" i="8"/>
  <c r="AL4" i="8"/>
  <c r="AL2" i="8"/>
  <c r="AK19" i="8"/>
  <c r="AK15" i="8"/>
  <c r="AK12" i="8"/>
  <c r="AK11" i="8"/>
  <c r="AK7" i="8"/>
  <c r="AK5" i="8"/>
  <c r="AK4" i="8"/>
  <c r="AK3" i="8"/>
  <c r="AK2" i="8"/>
  <c r="AJ3" i="8"/>
  <c r="AJ4" i="8"/>
  <c r="AJ5" i="8"/>
  <c r="AJ6" i="8"/>
  <c r="AJ7" i="8"/>
  <c r="AJ8" i="8"/>
  <c r="AJ10" i="8"/>
  <c r="AJ11" i="8"/>
  <c r="AJ12" i="8"/>
  <c r="AJ13" i="8"/>
  <c r="AJ14" i="8"/>
  <c r="AJ15" i="8"/>
  <c r="AJ16" i="8"/>
  <c r="AJ18" i="8"/>
  <c r="AJ19" i="8"/>
  <c r="AJ20" i="8"/>
  <c r="AJ2" i="8"/>
  <c r="V3" i="8"/>
  <c r="J2" i="8"/>
  <c r="J3" i="8"/>
  <c r="AL20" i="8"/>
  <c r="AK20" i="8"/>
  <c r="AL19" i="8"/>
  <c r="AK18" i="8"/>
  <c r="AM16" i="8"/>
  <c r="AL16" i="8"/>
  <c r="AK16" i="8"/>
  <c r="AM15" i="8"/>
  <c r="AL15" i="8"/>
  <c r="AM14" i="8"/>
  <c r="AK14" i="8"/>
  <c r="AL13" i="8"/>
  <c r="AK13" i="8"/>
  <c r="AM12" i="8"/>
  <c r="AL11" i="8"/>
  <c r="AK10" i="8"/>
  <c r="AM8" i="8"/>
  <c r="AL8" i="8"/>
  <c r="AK8" i="8"/>
  <c r="AO8" i="8" s="1"/>
  <c r="AM7" i="8"/>
  <c r="AL7" i="8"/>
  <c r="AO7" i="8" s="1"/>
  <c r="AM6" i="8"/>
  <c r="AK6" i="8"/>
  <c r="AL5" i="8"/>
  <c r="AM4" i="8"/>
  <c r="AO4" i="8"/>
  <c r="AL3" i="8"/>
  <c r="X53" i="8"/>
  <c r="V53" i="8"/>
  <c r="Y45" i="8"/>
  <c r="Y46" i="8"/>
  <c r="Y47" i="8"/>
  <c r="Y48" i="8"/>
  <c r="Y49" i="8"/>
  <c r="Y50" i="8"/>
  <c r="X55" i="8"/>
  <c r="X32" i="8"/>
  <c r="X52" i="8"/>
  <c r="X47" i="8"/>
  <c r="W60" i="8"/>
  <c r="W56" i="8"/>
  <c r="W54" i="8"/>
  <c r="W52" i="8"/>
  <c r="W48" i="8"/>
  <c r="V61" i="8"/>
  <c r="V57" i="8"/>
  <c r="V54" i="8"/>
  <c r="V50" i="8"/>
  <c r="V49" i="8"/>
  <c r="V48" i="8"/>
  <c r="V47" i="8"/>
  <c r="U45" i="8"/>
  <c r="U46" i="8"/>
  <c r="U47" i="8"/>
  <c r="U48" i="8"/>
  <c r="U49" i="8"/>
  <c r="U50" i="8"/>
  <c r="U51" i="8"/>
  <c r="U52" i="8"/>
  <c r="U53" i="8"/>
  <c r="U54" i="8"/>
  <c r="U55" i="8"/>
  <c r="U56" i="8"/>
  <c r="U57" i="8"/>
  <c r="U58" i="8"/>
  <c r="U59" i="8"/>
  <c r="U60" i="8"/>
  <c r="U61" i="8"/>
  <c r="U62" i="8"/>
  <c r="W46" i="8"/>
  <c r="V46" i="8"/>
  <c r="X45" i="8"/>
  <c r="V45" i="8"/>
  <c r="Y44" i="8"/>
  <c r="X44" i="8"/>
  <c r="W44" i="8"/>
  <c r="U44" i="8"/>
  <c r="W62" i="8"/>
  <c r="V62" i="8"/>
  <c r="W61" i="8"/>
  <c r="V60" i="8"/>
  <c r="X58" i="8"/>
  <c r="W58" i="8"/>
  <c r="V58" i="8"/>
  <c r="X57" i="8"/>
  <c r="W57" i="8"/>
  <c r="X56" i="8"/>
  <c r="V56" i="8"/>
  <c r="W55" i="8"/>
  <c r="V55" i="8"/>
  <c r="X54" i="8"/>
  <c r="W53" i="8"/>
  <c r="V52" i="8"/>
  <c r="X50" i="8"/>
  <c r="W50" i="8"/>
  <c r="X49" i="8"/>
  <c r="W49" i="8"/>
  <c r="X48" i="8"/>
  <c r="W47" i="8"/>
  <c r="X46" i="8"/>
  <c r="W45" i="8"/>
  <c r="V44" i="8"/>
  <c r="V40" i="8"/>
  <c r="U40" i="8"/>
  <c r="W33" i="8"/>
  <c r="V33" i="8"/>
  <c r="V32" i="8"/>
  <c r="U33" i="8"/>
  <c r="W27" i="8"/>
  <c r="U27" i="8"/>
  <c r="X24" i="8"/>
  <c r="V24" i="8"/>
  <c r="U24" i="8"/>
  <c r="W39" i="8"/>
  <c r="V36" i="8"/>
  <c r="W35" i="8"/>
  <c r="X34" i="8"/>
  <c r="X31" i="8"/>
  <c r="W31" i="8"/>
  <c r="V28" i="8"/>
  <c r="X26" i="8"/>
  <c r="W25" i="8"/>
  <c r="V25" i="8"/>
  <c r="Y24" i="8"/>
  <c r="Y25" i="8"/>
  <c r="Y26" i="8"/>
  <c r="Y27" i="8"/>
  <c r="Y28" i="8"/>
  <c r="Y29" i="8"/>
  <c r="Y23" i="8"/>
  <c r="X23" i="8"/>
  <c r="W23" i="8"/>
  <c r="U25" i="8"/>
  <c r="U26" i="8"/>
  <c r="U28" i="8"/>
  <c r="U29" i="8"/>
  <c r="U31" i="8"/>
  <c r="U32" i="8"/>
  <c r="U34" i="8"/>
  <c r="U35" i="8"/>
  <c r="U36" i="8"/>
  <c r="U37" i="8"/>
  <c r="U39" i="8"/>
  <c r="U41" i="8"/>
  <c r="U23" i="8"/>
  <c r="W41" i="8"/>
  <c r="V41" i="8"/>
  <c r="W40" i="8"/>
  <c r="V39" i="8"/>
  <c r="X37" i="8"/>
  <c r="W37" i="8"/>
  <c r="V37" i="8"/>
  <c r="X36" i="8"/>
  <c r="W36" i="8"/>
  <c r="X35" i="8"/>
  <c r="V35" i="8"/>
  <c r="W34" i="8"/>
  <c r="V34" i="8"/>
  <c r="X33" i="8"/>
  <c r="W32" i="8"/>
  <c r="V31" i="8"/>
  <c r="X29" i="8"/>
  <c r="W29" i="8"/>
  <c r="V29" i="8"/>
  <c r="X28" i="8"/>
  <c r="W28" i="8"/>
  <c r="X27" i="8"/>
  <c r="V27" i="8"/>
  <c r="W26" i="8"/>
  <c r="V26" i="8"/>
  <c r="X25" i="8"/>
  <c r="W24" i="8"/>
  <c r="Z24" i="8"/>
  <c r="V23" i="8"/>
  <c r="Z23" i="8" s="1"/>
  <c r="W20" i="8"/>
  <c r="V20" i="8"/>
  <c r="U20" i="8"/>
  <c r="W19" i="8"/>
  <c r="V19" i="8"/>
  <c r="U19" i="8"/>
  <c r="W18" i="8"/>
  <c r="V18" i="8"/>
  <c r="U18" i="8"/>
  <c r="V11" i="8"/>
  <c r="X16" i="8"/>
  <c r="W16" i="8"/>
  <c r="V16" i="8"/>
  <c r="U16" i="8"/>
  <c r="X15" i="8"/>
  <c r="W15" i="8"/>
  <c r="V15" i="8"/>
  <c r="U15" i="8"/>
  <c r="X14" i="8"/>
  <c r="W14" i="8"/>
  <c r="V14" i="8"/>
  <c r="U14" i="8"/>
  <c r="X13" i="8"/>
  <c r="W13" i="8"/>
  <c r="V13" i="8"/>
  <c r="U13" i="8"/>
  <c r="X12" i="8"/>
  <c r="W12" i="8"/>
  <c r="V12" i="8"/>
  <c r="U12" i="8"/>
  <c r="X11" i="8"/>
  <c r="W11" i="8"/>
  <c r="U11" i="8"/>
  <c r="X10" i="8"/>
  <c r="W10" i="8"/>
  <c r="V10" i="8"/>
  <c r="U10" i="8"/>
  <c r="Y4" i="8"/>
  <c r="X4" i="8"/>
  <c r="W4" i="8"/>
  <c r="C18" i="8"/>
  <c r="D18" i="8"/>
  <c r="E18" i="8"/>
  <c r="F18" i="8"/>
  <c r="B18" i="8"/>
  <c r="X2" i="8"/>
  <c r="Y8" i="8"/>
  <c r="X8" i="8"/>
  <c r="W8" i="8"/>
  <c r="V8" i="8"/>
  <c r="Y7" i="8"/>
  <c r="X7" i="8"/>
  <c r="W7" i="8"/>
  <c r="V7" i="8"/>
  <c r="Y6" i="8"/>
  <c r="X6" i="8"/>
  <c r="W6" i="8"/>
  <c r="V6" i="8"/>
  <c r="Y5" i="8"/>
  <c r="X5" i="8"/>
  <c r="W5" i="8"/>
  <c r="V5" i="8"/>
  <c r="V4" i="8"/>
  <c r="Y3" i="8"/>
  <c r="X3" i="8"/>
  <c r="W2" i="8"/>
  <c r="U3" i="8"/>
  <c r="U4" i="8"/>
  <c r="U5" i="8"/>
  <c r="U6" i="8"/>
  <c r="U7" i="8"/>
  <c r="U8" i="8"/>
  <c r="W3" i="8"/>
  <c r="V2" i="8"/>
  <c r="B63" i="8"/>
  <c r="C60" i="8" s="1"/>
  <c r="G50" i="8"/>
  <c r="M26" i="8"/>
  <c r="L26" i="8"/>
  <c r="L27" i="8" s="1"/>
  <c r="K26" i="8"/>
  <c r="K28" i="8" s="1"/>
  <c r="J26" i="8"/>
  <c r="J28" i="8" s="1"/>
  <c r="I26" i="8"/>
  <c r="I27" i="8" s="1"/>
  <c r="M23" i="8"/>
  <c r="L23" i="8"/>
  <c r="L24" i="8" s="1"/>
  <c r="K23" i="8"/>
  <c r="K24" i="8" s="1"/>
  <c r="J23" i="8"/>
  <c r="J24" i="8" s="1"/>
  <c r="I23" i="8"/>
  <c r="I25" i="8" s="1"/>
  <c r="M20" i="8"/>
  <c r="L20" i="8"/>
  <c r="L21" i="8" s="1"/>
  <c r="K20" i="8"/>
  <c r="K22" i="8" s="1"/>
  <c r="J20" i="8"/>
  <c r="J22" i="8" s="1"/>
  <c r="I20" i="8"/>
  <c r="I21" i="8" s="1"/>
  <c r="M17" i="8"/>
  <c r="L17" i="8"/>
  <c r="L18" i="8" s="1"/>
  <c r="K17" i="8"/>
  <c r="K19" i="8" s="1"/>
  <c r="J17" i="8"/>
  <c r="J19" i="8" s="1"/>
  <c r="I17" i="8"/>
  <c r="I18" i="8" s="1"/>
  <c r="M14" i="8"/>
  <c r="L14" i="8"/>
  <c r="L15" i="8" s="1"/>
  <c r="K14" i="8"/>
  <c r="K15" i="8" s="1"/>
  <c r="J14" i="8"/>
  <c r="J16" i="8" s="1"/>
  <c r="I14" i="8"/>
  <c r="I16" i="8" s="1"/>
  <c r="M11" i="8"/>
  <c r="L11" i="8"/>
  <c r="L12" i="8" s="1"/>
  <c r="K11" i="8"/>
  <c r="K12" i="8" s="1"/>
  <c r="K13" i="8" s="1"/>
  <c r="J11" i="8"/>
  <c r="J12" i="8" s="1"/>
  <c r="J13" i="8" s="1"/>
  <c r="I11" i="8"/>
  <c r="M8" i="8"/>
  <c r="L8" i="8"/>
  <c r="L9" i="8" s="1"/>
  <c r="K8" i="8"/>
  <c r="K9" i="8" s="1"/>
  <c r="K10" i="8" s="1"/>
  <c r="J8" i="8"/>
  <c r="J9" i="8" s="1"/>
  <c r="J10" i="8" s="1"/>
  <c r="I8" i="8"/>
  <c r="M5" i="8"/>
  <c r="L5" i="8"/>
  <c r="L6" i="8" s="1"/>
  <c r="K5" i="8"/>
  <c r="K6" i="8" s="1"/>
  <c r="J5" i="8"/>
  <c r="J6" i="8" s="1"/>
  <c r="I5" i="8"/>
  <c r="I6" i="8" s="1"/>
  <c r="Y2" i="8"/>
  <c r="U2" i="8"/>
  <c r="M2" i="8"/>
  <c r="L2" i="8"/>
  <c r="L3" i="8" s="1"/>
  <c r="K2" i="8"/>
  <c r="K4" i="8" s="1"/>
  <c r="J4" i="8"/>
  <c r="I2" i="8"/>
  <c r="D51" i="7"/>
  <c r="E51" i="7"/>
  <c r="F51" i="7"/>
  <c r="C51" i="7"/>
  <c r="H50" i="7"/>
  <c r="A65" i="7"/>
  <c r="C63" i="7"/>
  <c r="C57" i="7"/>
  <c r="C58" i="7"/>
  <c r="C59" i="7"/>
  <c r="C60" i="7"/>
  <c r="C61" i="7"/>
  <c r="C62" i="7"/>
  <c r="C56" i="7"/>
  <c r="B63" i="7"/>
  <c r="M7" i="10" l="1"/>
  <c r="M26" i="10"/>
  <c r="M25" i="10"/>
  <c r="AG42" i="10"/>
  <c r="AH5" i="10"/>
  <c r="AH42" i="10" s="1"/>
  <c r="N30" i="10"/>
  <c r="N54" i="10"/>
  <c r="N35" i="10"/>
  <c r="N53" i="10"/>
  <c r="O53" i="10" s="1"/>
  <c r="N17" i="10"/>
  <c r="N47" i="10"/>
  <c r="O47" i="10" s="1"/>
  <c r="N41" i="10"/>
  <c r="O41" i="10" s="1"/>
  <c r="N24" i="10"/>
  <c r="Z4" i="10"/>
  <c r="AA4" i="10" s="1"/>
  <c r="Z12" i="10"/>
  <c r="Z13" i="10"/>
  <c r="Z11" i="10"/>
  <c r="Z14" i="10"/>
  <c r="Y5" i="10"/>
  <c r="AA5" i="10" s="1"/>
  <c r="Y17" i="10"/>
  <c r="Y18" i="10"/>
  <c r="Y16" i="10"/>
  <c r="Y11" i="10"/>
  <c r="AA11" i="10" s="1"/>
  <c r="X6" i="10"/>
  <c r="AA6" i="10" s="1"/>
  <c r="X21" i="10"/>
  <c r="X20" i="10"/>
  <c r="X16" i="10"/>
  <c r="X12" i="10"/>
  <c r="W7" i="10"/>
  <c r="AA7" i="10" s="1"/>
  <c r="W23" i="10"/>
  <c r="W20" i="10"/>
  <c r="W17" i="10"/>
  <c r="W13" i="10"/>
  <c r="V8" i="10"/>
  <c r="AA8" i="10" s="1"/>
  <c r="V23" i="10"/>
  <c r="V21" i="10"/>
  <c r="V18" i="10"/>
  <c r="V14" i="10"/>
  <c r="N11" i="10"/>
  <c r="N18" i="10"/>
  <c r="N29" i="10"/>
  <c r="N36" i="10"/>
  <c r="N12" i="10"/>
  <c r="N23" i="10"/>
  <c r="L40" i="10"/>
  <c r="L34" i="10"/>
  <c r="L33" i="10"/>
  <c r="L39" i="10"/>
  <c r="M44" i="10"/>
  <c r="N44" i="10" s="1"/>
  <c r="M43" i="10"/>
  <c r="N43" i="10" s="1"/>
  <c r="M40" i="10"/>
  <c r="M39" i="10"/>
  <c r="M14" i="10"/>
  <c r="N14" i="10" s="1"/>
  <c r="M13" i="10"/>
  <c r="N13" i="10" s="1"/>
  <c r="M45" i="10"/>
  <c r="M58" i="10"/>
  <c r="M57" i="10"/>
  <c r="M56" i="10"/>
  <c r="N56" i="10" s="1"/>
  <c r="M55" i="10"/>
  <c r="N55" i="10" s="1"/>
  <c r="M51" i="10"/>
  <c r="M50" i="10"/>
  <c r="N50" i="10" s="1"/>
  <c r="M46" i="10"/>
  <c r="M38" i="10"/>
  <c r="N38" i="10" s="1"/>
  <c r="M33" i="10"/>
  <c r="M32" i="10"/>
  <c r="N32" i="10" s="1"/>
  <c r="M31" i="10"/>
  <c r="N31" i="10" s="1"/>
  <c r="M52" i="10"/>
  <c r="M49" i="10"/>
  <c r="N49" i="10" s="1"/>
  <c r="M37" i="10"/>
  <c r="N37" i="10" s="1"/>
  <c r="M34" i="10"/>
  <c r="L58" i="10"/>
  <c r="L57" i="10"/>
  <c r="L52" i="10"/>
  <c r="L46" i="10"/>
  <c r="L45" i="10"/>
  <c r="L51" i="10"/>
  <c r="M28" i="10"/>
  <c r="N25" i="10"/>
  <c r="M27" i="10"/>
  <c r="N26" i="10"/>
  <c r="L16" i="10"/>
  <c r="L28" i="10"/>
  <c r="N28" i="10" s="1"/>
  <c r="L27" i="10"/>
  <c r="L15" i="10"/>
  <c r="M16" i="10"/>
  <c r="N16" i="10" s="1"/>
  <c r="M15" i="10"/>
  <c r="N15" i="10" s="1"/>
  <c r="M22" i="10"/>
  <c r="M21" i="10"/>
  <c r="M20" i="10"/>
  <c r="N20" i="10" s="1"/>
  <c r="M19" i="10"/>
  <c r="N19" i="10" s="1"/>
  <c r="L21" i="10"/>
  <c r="L22" i="10"/>
  <c r="M10" i="10"/>
  <c r="M9" i="10"/>
  <c r="N7" i="10"/>
  <c r="M8" i="10"/>
  <c r="N8" i="10" s="1"/>
  <c r="L9" i="10"/>
  <c r="N5" i="10"/>
  <c r="B19" i="10"/>
  <c r="N6" i="10"/>
  <c r="M4" i="10" a="1"/>
  <c r="M4" i="10" s="1"/>
  <c r="I4" i="10"/>
  <c r="I3" i="10"/>
  <c r="N3" i="10" s="1"/>
  <c r="N2" i="10"/>
  <c r="M6" i="9"/>
  <c r="M7" i="9"/>
  <c r="M8" i="9"/>
  <c r="M5" i="9"/>
  <c r="M2" i="9"/>
  <c r="I2" i="9"/>
  <c r="N2" i="9" s="1"/>
  <c r="I6" i="9"/>
  <c r="N6" i="9" s="1"/>
  <c r="I7" i="9"/>
  <c r="N7" i="9" s="1"/>
  <c r="I8" i="9"/>
  <c r="I5" i="9"/>
  <c r="B19" i="9"/>
  <c r="C61" i="9"/>
  <c r="C62" i="9"/>
  <c r="C58" i="9"/>
  <c r="C60" i="9"/>
  <c r="C56" i="9"/>
  <c r="C59" i="9"/>
  <c r="C57" i="9"/>
  <c r="AO46" i="8"/>
  <c r="AO48" i="8"/>
  <c r="AO26" i="8"/>
  <c r="AO2" i="8"/>
  <c r="Z49" i="8"/>
  <c r="Y16" i="8"/>
  <c r="Z16" i="8" s="1"/>
  <c r="AN34" i="8"/>
  <c r="AO34" i="8" s="1"/>
  <c r="BC55" i="8"/>
  <c r="BD55" i="8" s="1"/>
  <c r="BC58" i="8"/>
  <c r="BD58" i="8" s="1"/>
  <c r="BC32" i="8"/>
  <c r="BD32" i="8" s="1"/>
  <c r="BC36" i="8"/>
  <c r="BD36" i="8" s="1"/>
  <c r="BC31" i="8"/>
  <c r="BD31" i="8" s="1"/>
  <c r="BC12" i="8"/>
  <c r="AN56" i="8"/>
  <c r="AO56" i="8" s="1"/>
  <c r="AN52" i="8"/>
  <c r="AO52" i="8" s="1"/>
  <c r="BC61" i="8"/>
  <c r="BC41" i="8"/>
  <c r="AN60" i="8"/>
  <c r="AN11" i="8"/>
  <c r="AO11" i="8" s="1"/>
  <c r="AN14" i="8"/>
  <c r="AO14" i="8" s="1"/>
  <c r="AN19" i="8"/>
  <c r="Y57" i="8"/>
  <c r="Z57" i="8" s="1"/>
  <c r="AN37" i="8"/>
  <c r="AO37" i="8" s="1"/>
  <c r="BC33" i="8"/>
  <c r="BD33" i="8" s="1"/>
  <c r="BC37" i="8"/>
  <c r="BD37" i="8" s="1"/>
  <c r="BC13" i="8"/>
  <c r="BD13" i="8" s="1"/>
  <c r="BC16" i="8"/>
  <c r="BD16" i="8" s="1"/>
  <c r="AN55" i="8"/>
  <c r="AO55" i="8" s="1"/>
  <c r="AN58" i="8"/>
  <c r="AO58" i="8" s="1"/>
  <c r="AN20" i="8"/>
  <c r="Y53" i="8"/>
  <c r="Z53" i="8" s="1"/>
  <c r="AN32" i="8"/>
  <c r="AO32" i="8" s="1"/>
  <c r="AN36" i="8"/>
  <c r="AO36" i="8" s="1"/>
  <c r="AN31" i="8"/>
  <c r="AO31" i="8" s="1"/>
  <c r="BC54" i="8"/>
  <c r="BC57" i="8"/>
  <c r="BD57" i="8" s="1"/>
  <c r="BC14" i="8"/>
  <c r="BD14" i="8" s="1"/>
  <c r="AN62" i="8"/>
  <c r="AN61" i="8"/>
  <c r="AN10" i="8"/>
  <c r="AO10" i="8" s="1"/>
  <c r="Y58" i="8"/>
  <c r="Z58" i="8" s="1"/>
  <c r="Y61" i="8"/>
  <c r="BC60" i="8"/>
  <c r="BC39" i="8"/>
  <c r="AN12" i="8"/>
  <c r="AO12" i="8" s="1"/>
  <c r="AN15" i="8"/>
  <c r="AO15" i="8" s="1"/>
  <c r="AN40" i="8"/>
  <c r="Y52" i="8"/>
  <c r="Z52" i="8" s="1"/>
  <c r="AN35" i="8"/>
  <c r="AO35" i="8" s="1"/>
  <c r="BC56" i="8"/>
  <c r="BD56" i="8" s="1"/>
  <c r="BC34" i="8"/>
  <c r="BD34" i="8" s="1"/>
  <c r="BC11" i="8"/>
  <c r="BD11" i="8" s="1"/>
  <c r="BC15" i="8"/>
  <c r="BD15" i="8" s="1"/>
  <c r="AN54" i="8"/>
  <c r="AO54" i="8" s="1"/>
  <c r="AN57" i="8"/>
  <c r="AO57" i="8" s="1"/>
  <c r="AN13" i="8"/>
  <c r="AN16" i="8"/>
  <c r="AO16" i="8" s="1"/>
  <c r="AN39" i="8"/>
  <c r="Y54" i="8"/>
  <c r="Z54" i="8" s="1"/>
  <c r="Y56" i="8"/>
  <c r="Z56" i="8" s="1"/>
  <c r="AN33" i="8"/>
  <c r="AO33" i="8" s="1"/>
  <c r="BC53" i="8"/>
  <c r="BD53" i="8" s="1"/>
  <c r="BC52" i="8"/>
  <c r="BD52" i="8" s="1"/>
  <c r="BC35" i="8"/>
  <c r="BD35" i="8" s="1"/>
  <c r="BC10" i="8"/>
  <c r="BD10" i="8" s="1"/>
  <c r="AN53" i="8"/>
  <c r="AO53" i="8" s="1"/>
  <c r="BC62" i="8"/>
  <c r="BC40" i="8"/>
  <c r="BC20" i="8"/>
  <c r="BC19" i="8"/>
  <c r="BC18" i="8"/>
  <c r="AN41" i="8"/>
  <c r="Y55" i="8"/>
  <c r="Z55" i="8" s="1"/>
  <c r="AN18" i="8"/>
  <c r="Y32" i="8"/>
  <c r="Z32" i="8" s="1"/>
  <c r="Y33" i="8"/>
  <c r="Z33" i="8" s="1"/>
  <c r="Y36" i="8"/>
  <c r="Z36" i="8" s="1"/>
  <c r="Y37" i="8"/>
  <c r="Z37" i="8" s="1"/>
  <c r="Y31" i="8"/>
  <c r="Z31" i="8" s="1"/>
  <c r="Y40" i="8"/>
  <c r="Y39" i="8"/>
  <c r="BD54" i="8"/>
  <c r="BD12" i="8"/>
  <c r="BD25" i="8"/>
  <c r="BD48" i="8"/>
  <c r="X19" i="8"/>
  <c r="BB62" i="8"/>
  <c r="BD62" i="8" s="1"/>
  <c r="AM40" i="8"/>
  <c r="AO40" i="8" s="1"/>
  <c r="AM20" i="8"/>
  <c r="AO20" i="8" s="1"/>
  <c r="X39" i="8"/>
  <c r="Z39" i="8" s="1"/>
  <c r="BB61" i="8"/>
  <c r="BD61" i="8" s="1"/>
  <c r="BB60" i="8"/>
  <c r="BD60" i="8" s="1"/>
  <c r="BB40" i="8"/>
  <c r="BD40" i="8" s="1"/>
  <c r="BB41" i="8"/>
  <c r="BD41" i="8" s="1"/>
  <c r="BB39" i="8"/>
  <c r="BD39" i="8" s="1"/>
  <c r="BB20" i="8"/>
  <c r="BD20" i="8" s="1"/>
  <c r="AM61" i="8"/>
  <c r="AO61" i="8" s="1"/>
  <c r="AM60" i="8"/>
  <c r="AO60" i="8" s="1"/>
  <c r="AM41" i="8"/>
  <c r="X61" i="8"/>
  <c r="X40" i="8"/>
  <c r="BB19" i="8"/>
  <c r="BB18" i="8"/>
  <c r="AM62" i="8"/>
  <c r="X60" i="8"/>
  <c r="AM39" i="8"/>
  <c r="AM18" i="8"/>
  <c r="X62" i="8"/>
  <c r="AM19" i="8"/>
  <c r="AO19" i="8" s="1"/>
  <c r="X41" i="8"/>
  <c r="AO24" i="8"/>
  <c r="BD24" i="8"/>
  <c r="BD28" i="8"/>
  <c r="AO28" i="8"/>
  <c r="BD3" i="8"/>
  <c r="AO13" i="8"/>
  <c r="E51" i="9"/>
  <c r="C51" i="9"/>
  <c r="C52" i="9" s="1"/>
  <c r="C53" i="9" s="1"/>
  <c r="D51" i="9"/>
  <c r="F51" i="9"/>
  <c r="BD23" i="8"/>
  <c r="BD27" i="8"/>
  <c r="Z44" i="8"/>
  <c r="BD29" i="8"/>
  <c r="AO44" i="8"/>
  <c r="Z50" i="8"/>
  <c r="AO5" i="8"/>
  <c r="BD47" i="8"/>
  <c r="BD45" i="8"/>
  <c r="AO49" i="8"/>
  <c r="BD49" i="8"/>
  <c r="BD8" i="8"/>
  <c r="Z47" i="8"/>
  <c r="AO47" i="8"/>
  <c r="AO50" i="8"/>
  <c r="BD26" i="8"/>
  <c r="BD5" i="8"/>
  <c r="BD50" i="8"/>
  <c r="BD44" i="8"/>
  <c r="BD2" i="8"/>
  <c r="Z26" i="8"/>
  <c r="BD6" i="8"/>
  <c r="AO23" i="8"/>
  <c r="AO25" i="8"/>
  <c r="AO29" i="8"/>
  <c r="AO6" i="8"/>
  <c r="Z45" i="8"/>
  <c r="Y41" i="8"/>
  <c r="Y35" i="8"/>
  <c r="Z35" i="8" s="1"/>
  <c r="Y60" i="8"/>
  <c r="Y34" i="8"/>
  <c r="Z34" i="8" s="1"/>
  <c r="Z48" i="8"/>
  <c r="Z27" i="8"/>
  <c r="Y62" i="8"/>
  <c r="Z46" i="8"/>
  <c r="Z25" i="8"/>
  <c r="Z29" i="8"/>
  <c r="Z28" i="8"/>
  <c r="X20" i="8"/>
  <c r="Y18" i="8"/>
  <c r="Y20" i="8"/>
  <c r="Y19" i="8"/>
  <c r="X18" i="8"/>
  <c r="Y11" i="8"/>
  <c r="Z11" i="8" s="1"/>
  <c r="Y12" i="8"/>
  <c r="Y13" i="8"/>
  <c r="Z13" i="8" s="1"/>
  <c r="M28" i="8"/>
  <c r="Y15" i="8"/>
  <c r="Z15" i="8" s="1"/>
  <c r="Z12" i="8"/>
  <c r="Y10" i="8"/>
  <c r="Z10" i="8" s="1"/>
  <c r="Y14" i="8"/>
  <c r="Z14" i="8" s="1"/>
  <c r="Z5" i="8"/>
  <c r="M6" i="8"/>
  <c r="N6" i="8" s="1"/>
  <c r="N8" i="8"/>
  <c r="I15" i="8"/>
  <c r="K16" i="8"/>
  <c r="Z6" i="8"/>
  <c r="Z7" i="8"/>
  <c r="J27" i="8"/>
  <c r="J18" i="8"/>
  <c r="Z8" i="8"/>
  <c r="J7" i="8"/>
  <c r="K7" i="8"/>
  <c r="M7" i="8"/>
  <c r="K18" i="8"/>
  <c r="C61" i="8"/>
  <c r="K3" i="8"/>
  <c r="C62" i="8"/>
  <c r="N14" i="8"/>
  <c r="N20" i="8"/>
  <c r="J21" i="8"/>
  <c r="N5" i="8"/>
  <c r="N17" i="8"/>
  <c r="I9" i="8"/>
  <c r="I10" i="8" s="1"/>
  <c r="I22" i="8"/>
  <c r="K25" i="8"/>
  <c r="K21" i="8"/>
  <c r="I19" i="8"/>
  <c r="Z2" i="8"/>
  <c r="L10" i="8"/>
  <c r="B19" i="8"/>
  <c r="I4" i="8"/>
  <c r="I3" i="8"/>
  <c r="L28" i="8"/>
  <c r="L13" i="8"/>
  <c r="L19" i="8"/>
  <c r="L16" i="8"/>
  <c r="L4" i="8"/>
  <c r="L22" i="8"/>
  <c r="M13" i="8"/>
  <c r="M9" i="8"/>
  <c r="M27" i="8"/>
  <c r="M19" i="8"/>
  <c r="M15" i="8"/>
  <c r="M3" i="8"/>
  <c r="M12" i="8"/>
  <c r="M22" i="8"/>
  <c r="Z3" i="8"/>
  <c r="N23" i="8"/>
  <c r="I24" i="8"/>
  <c r="M10" i="8"/>
  <c r="J25" i="8"/>
  <c r="N2" i="8"/>
  <c r="L25" i="8"/>
  <c r="M25" i="8"/>
  <c r="M16" i="8"/>
  <c r="M18" i="8"/>
  <c r="N11" i="8"/>
  <c r="I12" i="8"/>
  <c r="M21" i="8"/>
  <c r="K27" i="8"/>
  <c r="I28" i="8"/>
  <c r="N26" i="8"/>
  <c r="L7" i="8"/>
  <c r="M24" i="8"/>
  <c r="F51" i="8"/>
  <c r="E51" i="8"/>
  <c r="C51" i="8"/>
  <c r="J15" i="8"/>
  <c r="D51" i="8"/>
  <c r="C59" i="8"/>
  <c r="C58" i="8"/>
  <c r="C57" i="8"/>
  <c r="C56" i="8"/>
  <c r="I7" i="8"/>
  <c r="AA16" i="10" l="1"/>
  <c r="N40" i="10"/>
  <c r="O17" i="10"/>
  <c r="O29" i="10"/>
  <c r="P29" i="10" s="1"/>
  <c r="Q29" i="10" s="1"/>
  <c r="R29" i="10" s="1"/>
  <c r="S29" i="10" s="1"/>
  <c r="O35" i="10"/>
  <c r="P35" i="10" s="1"/>
  <c r="Q35" i="10" s="1"/>
  <c r="R35" i="10" s="1"/>
  <c r="S35" i="10" s="1"/>
  <c r="AA17" i="10"/>
  <c r="AA13" i="10"/>
  <c r="AB13" i="10" s="1"/>
  <c r="AC13" i="10" s="1"/>
  <c r="AD13" i="10" s="1"/>
  <c r="AA20" i="10"/>
  <c r="AB20" i="10" s="1"/>
  <c r="AC20" i="10" s="1"/>
  <c r="AD20" i="10" s="1"/>
  <c r="AA23" i="10"/>
  <c r="AB23" i="10" s="1"/>
  <c r="AC23" i="10" s="1"/>
  <c r="AD23" i="10" s="1"/>
  <c r="N27" i="10"/>
  <c r="O27" i="10" s="1"/>
  <c r="P27" i="10" s="1"/>
  <c r="Q27" i="10" s="1"/>
  <c r="N39" i="10"/>
  <c r="AA14" i="10"/>
  <c r="O23" i="10"/>
  <c r="P23" i="10" s="1"/>
  <c r="Q23" i="10" s="1"/>
  <c r="R23" i="10" s="1"/>
  <c r="N58" i="10"/>
  <c r="N45" i="10"/>
  <c r="AA12" i="10"/>
  <c r="AB12" i="10" s="1"/>
  <c r="AC12" i="10" s="1"/>
  <c r="AD12" i="10" s="1"/>
  <c r="AA18" i="10"/>
  <c r="AB18" i="10" s="1"/>
  <c r="AC18" i="10" s="1"/>
  <c r="AD18" i="10" s="1"/>
  <c r="O37" i="10"/>
  <c r="P37" i="10" s="1"/>
  <c r="Q37" i="10" s="1"/>
  <c r="R37" i="10" s="1"/>
  <c r="S37" i="10" s="1"/>
  <c r="O11" i="10"/>
  <c r="P11" i="10" s="1"/>
  <c r="Q11" i="10" s="1"/>
  <c r="R11" i="10" s="1"/>
  <c r="S11" i="10" s="1"/>
  <c r="AA21" i="10"/>
  <c r="AB21" i="10" s="1"/>
  <c r="AC21" i="10" s="1"/>
  <c r="AD21" i="10" s="1"/>
  <c r="AB14" i="10"/>
  <c r="AC14" i="10" s="1"/>
  <c r="AD14" i="10" s="1"/>
  <c r="AB17" i="10"/>
  <c r="AC17" i="10" s="1"/>
  <c r="AD17" i="10" s="1"/>
  <c r="AB16" i="10"/>
  <c r="AC16" i="10" s="1"/>
  <c r="AD16" i="10" s="1"/>
  <c r="AB11" i="10"/>
  <c r="AB7" i="10"/>
  <c r="AC7" i="10" s="1"/>
  <c r="AD7" i="10" s="1"/>
  <c r="AB6" i="10"/>
  <c r="AC6" i="10" s="1"/>
  <c r="AD6" i="10" s="1"/>
  <c r="AB4" i="10"/>
  <c r="AC4" i="10" s="1"/>
  <c r="AD4" i="10" s="1"/>
  <c r="AB2" i="10"/>
  <c r="AC2" i="10" s="1"/>
  <c r="AD2" i="10" s="1"/>
  <c r="AB5" i="10"/>
  <c r="AC5" i="10" s="1"/>
  <c r="AD5" i="10" s="1"/>
  <c r="AB8" i="10"/>
  <c r="N57" i="10"/>
  <c r="N52" i="10"/>
  <c r="O43" i="10"/>
  <c r="P43" i="10" s="1"/>
  <c r="Q43" i="10" s="1"/>
  <c r="R43" i="10" s="1"/>
  <c r="S43" i="10" s="1"/>
  <c r="N9" i="10"/>
  <c r="O49" i="10"/>
  <c r="P49" i="10" s="1"/>
  <c r="Q49" i="10" s="1"/>
  <c r="N10" i="10"/>
  <c r="O55" i="10"/>
  <c r="P55" i="10" s="1"/>
  <c r="Q55" i="10" s="1"/>
  <c r="R55" i="10" s="1"/>
  <c r="S55" i="10" s="1"/>
  <c r="N34" i="10"/>
  <c r="N46" i="10"/>
  <c r="N33" i="10"/>
  <c r="O15" i="10"/>
  <c r="P15" i="10" s="1"/>
  <c r="Q15" i="10" s="1"/>
  <c r="R15" i="10" s="1"/>
  <c r="S15" i="10" s="1"/>
  <c r="N51" i="10"/>
  <c r="O13" i="10"/>
  <c r="P13" i="10" s="1"/>
  <c r="Q13" i="10" s="1"/>
  <c r="R13" i="10" s="1"/>
  <c r="S13" i="10" s="1"/>
  <c r="N21" i="10"/>
  <c r="N22" i="10"/>
  <c r="O31" i="10"/>
  <c r="P31" i="10" s="1"/>
  <c r="Q31" i="10" s="1"/>
  <c r="R31" i="10" s="1"/>
  <c r="S31" i="10" s="1"/>
  <c r="P47" i="10"/>
  <c r="Q47" i="10" s="1"/>
  <c r="R47" i="10" s="1"/>
  <c r="S47" i="10" s="1"/>
  <c r="P3" i="10"/>
  <c r="Q3" i="10" s="1"/>
  <c r="R3" i="10" s="1"/>
  <c r="S3" i="10" s="1"/>
  <c r="P2" i="10"/>
  <c r="Q2" i="10" s="1"/>
  <c r="R2" i="10" s="1"/>
  <c r="S2" i="10" s="1"/>
  <c r="P41" i="10"/>
  <c r="Q41" i="10" s="1"/>
  <c r="R41" i="10" s="1"/>
  <c r="S41" i="10" s="1"/>
  <c r="P53" i="10"/>
  <c r="Q53" i="10" s="1"/>
  <c r="O7" i="10"/>
  <c r="P7" i="10" s="1"/>
  <c r="Q7" i="10" s="1"/>
  <c r="R7" i="10" s="1"/>
  <c r="S7" i="10" s="1"/>
  <c r="O25" i="10"/>
  <c r="P25" i="10" s="1"/>
  <c r="Q25" i="10" s="1"/>
  <c r="R25" i="10" s="1"/>
  <c r="S25" i="10" s="1"/>
  <c r="O19" i="10"/>
  <c r="P19" i="10" s="1"/>
  <c r="Q19" i="10" s="1"/>
  <c r="R19" i="10" s="1"/>
  <c r="S19" i="10" s="1"/>
  <c r="P17" i="10"/>
  <c r="Q17" i="10" s="1"/>
  <c r="R17" i="10" s="1"/>
  <c r="S17" i="10" s="1"/>
  <c r="O5" i="10"/>
  <c r="P5" i="10" s="1"/>
  <c r="Q5" i="10" s="1"/>
  <c r="R5" i="10" s="1"/>
  <c r="N4" i="10"/>
  <c r="P4" i="10" s="1"/>
  <c r="Q4" i="10" s="1"/>
  <c r="R4" i="10" s="1"/>
  <c r="S4" i="10" s="1"/>
  <c r="O6" i="9"/>
  <c r="P6" i="9" s="1"/>
  <c r="Q6" i="9" s="1"/>
  <c r="R6" i="9" s="1"/>
  <c r="T6" i="9" s="1"/>
  <c r="V6" i="9" s="1"/>
  <c r="W6" i="9" s="1"/>
  <c r="O7" i="9"/>
  <c r="P7" i="9" s="1"/>
  <c r="Q7" i="9" s="1"/>
  <c r="R7" i="9" s="1"/>
  <c r="T7" i="9" s="1"/>
  <c r="V7" i="9" s="1"/>
  <c r="W7" i="9" s="1"/>
  <c r="N8" i="9"/>
  <c r="O8" i="9" s="1"/>
  <c r="P8" i="9" s="1"/>
  <c r="Q8" i="9" s="1"/>
  <c r="R8" i="9" s="1"/>
  <c r="T8" i="9" s="1"/>
  <c r="V8" i="9" s="1"/>
  <c r="W8" i="9" s="1"/>
  <c r="N5" i="9"/>
  <c r="C63" i="9"/>
  <c r="A65" i="9"/>
  <c r="O2" i="9"/>
  <c r="P2" i="9" s="1"/>
  <c r="Q2" i="9" s="1"/>
  <c r="R2" i="9" s="1"/>
  <c r="O5" i="9"/>
  <c r="P5" i="9" s="1"/>
  <c r="Q5" i="9" s="1"/>
  <c r="R5" i="9" s="1"/>
  <c r="AO41" i="8"/>
  <c r="AP41" i="8" s="1"/>
  <c r="AQ41" i="8" s="1"/>
  <c r="AR41" i="8" s="1"/>
  <c r="AS41" i="8" s="1"/>
  <c r="AU41" i="8" s="1"/>
  <c r="AV41" i="8" s="1"/>
  <c r="Z61" i="8"/>
  <c r="AA61" i="8" s="1"/>
  <c r="AB61" i="8" s="1"/>
  <c r="AC61" i="8" s="1"/>
  <c r="AD61" i="8" s="1"/>
  <c r="AF61" i="8" s="1"/>
  <c r="AG61" i="8" s="1"/>
  <c r="Z40" i="8"/>
  <c r="AA40" i="8" s="1"/>
  <c r="AB40" i="8" s="1"/>
  <c r="AC40" i="8" s="1"/>
  <c r="AD40" i="8" s="1"/>
  <c r="AF40" i="8" s="1"/>
  <c r="AG40" i="8" s="1"/>
  <c r="BD19" i="8"/>
  <c r="BE19" i="8" s="1"/>
  <c r="BF19" i="8" s="1"/>
  <c r="BG19" i="8" s="1"/>
  <c r="BH19" i="8" s="1"/>
  <c r="BJ19" i="8" s="1"/>
  <c r="BK19" i="8" s="1"/>
  <c r="BD18" i="8"/>
  <c r="BE18" i="8" s="1"/>
  <c r="BF18" i="8" s="1"/>
  <c r="BG18" i="8" s="1"/>
  <c r="BH18" i="8" s="1"/>
  <c r="AO62" i="8"/>
  <c r="AP62" i="8" s="1"/>
  <c r="AQ62" i="8" s="1"/>
  <c r="AO39" i="8"/>
  <c r="AP39" i="8" s="1"/>
  <c r="AQ39" i="8" s="1"/>
  <c r="AR39" i="8" s="1"/>
  <c r="AS39" i="8" s="1"/>
  <c r="AO18" i="8"/>
  <c r="AP18" i="8" s="1"/>
  <c r="AQ18" i="8" s="1"/>
  <c r="Z19" i="8"/>
  <c r="AA19" i="8" s="1"/>
  <c r="AB19" i="8" s="1"/>
  <c r="Z62" i="8"/>
  <c r="AA62" i="8" s="1"/>
  <c r="AB62" i="8" s="1"/>
  <c r="AC62" i="8" s="1"/>
  <c r="AD62" i="8" s="1"/>
  <c r="AF62" i="8" s="1"/>
  <c r="AG62" i="8" s="1"/>
  <c r="Z60" i="8"/>
  <c r="AA60" i="8" s="1"/>
  <c r="AB60" i="8" s="1"/>
  <c r="Z41" i="8"/>
  <c r="AA41" i="8" s="1"/>
  <c r="AB41" i="8" s="1"/>
  <c r="AC41" i="8" s="1"/>
  <c r="AD41" i="8" s="1"/>
  <c r="AF41" i="8" s="1"/>
  <c r="AG41" i="8" s="1"/>
  <c r="AA29" i="8"/>
  <c r="AB29" i="8" s="1"/>
  <c r="AC29" i="8" s="1"/>
  <c r="AD29" i="8" s="1"/>
  <c r="AF29" i="8" s="1"/>
  <c r="AG29" i="8" s="1"/>
  <c r="BE47" i="8"/>
  <c r="BF47" i="8" s="1"/>
  <c r="AA25" i="8"/>
  <c r="AB25" i="8" s="1"/>
  <c r="AC25" i="8" s="1"/>
  <c r="AD25" i="8" s="1"/>
  <c r="AF25" i="8" s="1"/>
  <c r="AG25" i="8" s="1"/>
  <c r="AA28" i="8"/>
  <c r="AB28" i="8" s="1"/>
  <c r="AC28" i="8" s="1"/>
  <c r="AD28" i="8" s="1"/>
  <c r="AF28" i="8" s="1"/>
  <c r="AG28" i="8" s="1"/>
  <c r="AP35" i="8"/>
  <c r="AQ35" i="8" s="1"/>
  <c r="AR35" i="8" s="1"/>
  <c r="AS35" i="8" s="1"/>
  <c r="AU35" i="8" s="1"/>
  <c r="AV35" i="8" s="1"/>
  <c r="BE61" i="8"/>
  <c r="BF61" i="8" s="1"/>
  <c r="BG61" i="8" s="1"/>
  <c r="BH61" i="8" s="1"/>
  <c r="BJ61" i="8" s="1"/>
  <c r="BK61" i="8" s="1"/>
  <c r="BE49" i="8"/>
  <c r="BF49" i="8" s="1"/>
  <c r="BG49" i="8" s="1"/>
  <c r="BH49" i="8" s="1"/>
  <c r="BK49" i="8" s="1"/>
  <c r="AP27" i="8"/>
  <c r="AQ27" i="8" s="1"/>
  <c r="AR27" i="8" s="1"/>
  <c r="AS27" i="8" s="1"/>
  <c r="AU27" i="8" s="1"/>
  <c r="AV27" i="8" s="1"/>
  <c r="AP26" i="8"/>
  <c r="AQ26" i="8" s="1"/>
  <c r="AR26" i="8" s="1"/>
  <c r="AS26" i="8" s="1"/>
  <c r="AU26" i="8" s="1"/>
  <c r="AV26" i="8" s="1"/>
  <c r="BE13" i="8"/>
  <c r="BF13" i="8" s="1"/>
  <c r="BG13" i="8" s="1"/>
  <c r="BH13" i="8" s="1"/>
  <c r="BJ13" i="8" s="1"/>
  <c r="BK13" i="8" s="1"/>
  <c r="BE34" i="8"/>
  <c r="BF34" i="8" s="1"/>
  <c r="BG34" i="8" s="1"/>
  <c r="BH34" i="8" s="1"/>
  <c r="BJ34" i="8" s="1"/>
  <c r="BK34" i="8" s="1"/>
  <c r="AP19" i="8"/>
  <c r="AQ19" i="8" s="1"/>
  <c r="AR19" i="8" s="1"/>
  <c r="AS19" i="8" s="1"/>
  <c r="AU19" i="8" s="1"/>
  <c r="AV19" i="8" s="1"/>
  <c r="AP31" i="8"/>
  <c r="AQ31" i="8" s="1"/>
  <c r="AR31" i="8" s="1"/>
  <c r="AS31" i="8" s="1"/>
  <c r="BE33" i="8"/>
  <c r="BF33" i="8" s="1"/>
  <c r="BG33" i="8" s="1"/>
  <c r="BH33" i="8" s="1"/>
  <c r="BJ33" i="8" s="1"/>
  <c r="BE35" i="8"/>
  <c r="BF35" i="8" s="1"/>
  <c r="BG35" i="8" s="1"/>
  <c r="BH35" i="8" s="1"/>
  <c r="BJ35" i="8" s="1"/>
  <c r="AP44" i="8"/>
  <c r="AQ44" i="8" s="1"/>
  <c r="AR44" i="8" s="1"/>
  <c r="AS44" i="8" s="1"/>
  <c r="AP54" i="8"/>
  <c r="AQ54" i="8" s="1"/>
  <c r="AP32" i="8"/>
  <c r="AQ32" i="8" s="1"/>
  <c r="AR32" i="8" s="1"/>
  <c r="AS32" i="8" s="1"/>
  <c r="AU32" i="8" s="1"/>
  <c r="AV32" i="8" s="1"/>
  <c r="BE26" i="8"/>
  <c r="BF26" i="8" s="1"/>
  <c r="BG26" i="8" s="1"/>
  <c r="BH26" i="8" s="1"/>
  <c r="BJ26" i="8" s="1"/>
  <c r="AP11" i="8"/>
  <c r="AQ11" i="8" s="1"/>
  <c r="AR11" i="8" s="1"/>
  <c r="AS11" i="8" s="1"/>
  <c r="AU11" i="8" s="1"/>
  <c r="AV11" i="8" s="1"/>
  <c r="BE48" i="8"/>
  <c r="BF48" i="8" s="1"/>
  <c r="BG48" i="8" s="1"/>
  <c r="BH48" i="8" s="1"/>
  <c r="BJ48" i="8" s="1"/>
  <c r="AP49" i="8"/>
  <c r="AQ49" i="8" s="1"/>
  <c r="AR49" i="8" s="1"/>
  <c r="AS49" i="8" s="1"/>
  <c r="AV49" i="8" s="1"/>
  <c r="AP16" i="8"/>
  <c r="AQ16" i="8" s="1"/>
  <c r="AR16" i="8" s="1"/>
  <c r="AS16" i="8" s="1"/>
  <c r="AU16" i="8" s="1"/>
  <c r="AV16" i="8" s="1"/>
  <c r="AP40" i="8"/>
  <c r="AQ40" i="8" s="1"/>
  <c r="AR40" i="8" s="1"/>
  <c r="AS40" i="8" s="1"/>
  <c r="AU40" i="8" s="1"/>
  <c r="AV40" i="8" s="1"/>
  <c r="AP15" i="8"/>
  <c r="AQ15" i="8" s="1"/>
  <c r="AR15" i="8" s="1"/>
  <c r="AS15" i="8" s="1"/>
  <c r="AU15" i="8" s="1"/>
  <c r="AV15" i="8" s="1"/>
  <c r="AP46" i="8"/>
  <c r="AQ46" i="8" s="1"/>
  <c r="AR46" i="8" s="1"/>
  <c r="AS46" i="8" s="1"/>
  <c r="AU46" i="8" s="1"/>
  <c r="AV46" i="8" s="1"/>
  <c r="AA55" i="8"/>
  <c r="AB55" i="8" s="1"/>
  <c r="AC55" i="8" s="1"/>
  <c r="AD55" i="8" s="1"/>
  <c r="AF55" i="8" s="1"/>
  <c r="AG55" i="8" s="1"/>
  <c r="BE37" i="8"/>
  <c r="BF37" i="8" s="1"/>
  <c r="BG37" i="8" s="1"/>
  <c r="BH37" i="8" s="1"/>
  <c r="BJ37" i="8" s="1"/>
  <c r="BK37" i="8" s="1"/>
  <c r="BE20" i="8"/>
  <c r="BF20" i="8" s="1"/>
  <c r="BG20" i="8" s="1"/>
  <c r="BH20" i="8" s="1"/>
  <c r="BJ20" i="8" s="1"/>
  <c r="BK20" i="8" s="1"/>
  <c r="BE56" i="8"/>
  <c r="BF56" i="8" s="1"/>
  <c r="BG56" i="8" s="1"/>
  <c r="BH56" i="8" s="1"/>
  <c r="BJ56" i="8" s="1"/>
  <c r="AP56" i="8"/>
  <c r="AQ56" i="8" s="1"/>
  <c r="AP58" i="8"/>
  <c r="AQ58" i="8" s="1"/>
  <c r="AA50" i="8"/>
  <c r="AB50" i="8" s="1"/>
  <c r="AC50" i="8" s="1"/>
  <c r="AD50" i="8" s="1"/>
  <c r="AF50" i="8" s="1"/>
  <c r="AG50" i="8" s="1"/>
  <c r="BE36" i="8"/>
  <c r="BF36" i="8" s="1"/>
  <c r="BG36" i="8" s="1"/>
  <c r="BH36" i="8" s="1"/>
  <c r="BJ36" i="8" s="1"/>
  <c r="BK36" i="8" s="1"/>
  <c r="BE32" i="8"/>
  <c r="BF32" i="8" s="1"/>
  <c r="BG32" i="8" s="1"/>
  <c r="BH32" i="8" s="1"/>
  <c r="BJ32" i="8" s="1"/>
  <c r="BK32" i="8" s="1"/>
  <c r="BE41" i="8"/>
  <c r="BF41" i="8" s="1"/>
  <c r="BG41" i="8" s="1"/>
  <c r="BH41" i="8" s="1"/>
  <c r="BJ41" i="8" s="1"/>
  <c r="BK41" i="8" s="1"/>
  <c r="AA56" i="8"/>
  <c r="AB56" i="8" s="1"/>
  <c r="BE40" i="8"/>
  <c r="BF40" i="8" s="1"/>
  <c r="BG40" i="8" s="1"/>
  <c r="BH40" i="8" s="1"/>
  <c r="BJ40" i="8" s="1"/>
  <c r="BK40" i="8" s="1"/>
  <c r="BK42" i="8" s="1"/>
  <c r="AP25" i="8"/>
  <c r="AQ25" i="8" s="1"/>
  <c r="AR25" i="8" s="1"/>
  <c r="AS25" i="8" s="1"/>
  <c r="AU25" i="8" s="1"/>
  <c r="AV25" i="8" s="1"/>
  <c r="BE54" i="8"/>
  <c r="BF54" i="8" s="1"/>
  <c r="BG54" i="8" s="1"/>
  <c r="BH54" i="8" s="1"/>
  <c r="BJ54" i="8" s="1"/>
  <c r="AP55" i="8"/>
  <c r="AQ55" i="8" s="1"/>
  <c r="AP4" i="8"/>
  <c r="AQ4" i="8" s="1"/>
  <c r="AR4" i="8" s="1"/>
  <c r="AS4" i="8" s="1"/>
  <c r="AU4" i="8" s="1"/>
  <c r="AV4" i="8" s="1"/>
  <c r="BE12" i="8"/>
  <c r="BF12" i="8" s="1"/>
  <c r="BG12" i="8" s="1"/>
  <c r="BH12" i="8" s="1"/>
  <c r="BJ12" i="8" s="1"/>
  <c r="BK12" i="8" s="1"/>
  <c r="BE11" i="8"/>
  <c r="BF11" i="8" s="1"/>
  <c r="BG11" i="8" s="1"/>
  <c r="BH11" i="8" s="1"/>
  <c r="BJ11" i="8" s="1"/>
  <c r="BK11" i="8" s="1"/>
  <c r="AP48" i="8"/>
  <c r="AQ48" i="8" s="1"/>
  <c r="BE28" i="8"/>
  <c r="BF28" i="8" s="1"/>
  <c r="BG28" i="8" s="1"/>
  <c r="BH28" i="8" s="1"/>
  <c r="BK28" i="8" s="1"/>
  <c r="BE3" i="8"/>
  <c r="BF3" i="8" s="1"/>
  <c r="BG3" i="8" s="1"/>
  <c r="BH3" i="8" s="1"/>
  <c r="BJ3" i="8" s="1"/>
  <c r="BK3" i="8" s="1"/>
  <c r="AA35" i="8"/>
  <c r="AB35" i="8" s="1"/>
  <c r="AC35" i="8" s="1"/>
  <c r="AD35" i="8" s="1"/>
  <c r="AF35" i="8" s="1"/>
  <c r="AG35" i="8" s="1"/>
  <c r="AP33" i="8"/>
  <c r="AQ33" i="8" s="1"/>
  <c r="BE46" i="8"/>
  <c r="BF46" i="8" s="1"/>
  <c r="BG46" i="8" s="1"/>
  <c r="BH46" i="8" s="1"/>
  <c r="BJ46" i="8" s="1"/>
  <c r="AP24" i="8"/>
  <c r="AQ24" i="8" s="1"/>
  <c r="AR24" i="8" s="1"/>
  <c r="AS24" i="8" s="1"/>
  <c r="AU24" i="8" s="1"/>
  <c r="AV24" i="8" s="1"/>
  <c r="BE29" i="8"/>
  <c r="BF29" i="8" s="1"/>
  <c r="BG29" i="8" s="1"/>
  <c r="BH29" i="8" s="1"/>
  <c r="BJ29" i="8" s="1"/>
  <c r="BK29" i="8" s="1"/>
  <c r="BE4" i="8"/>
  <c r="BF4" i="8" s="1"/>
  <c r="BG4" i="8" s="1"/>
  <c r="BH4" i="8" s="1"/>
  <c r="BJ4" i="8" s="1"/>
  <c r="BK4" i="8" s="1"/>
  <c r="AP45" i="8"/>
  <c r="AQ45" i="8" s="1"/>
  <c r="AP10" i="8"/>
  <c r="AQ10" i="8" s="1"/>
  <c r="AR10" i="8" s="1"/>
  <c r="AS10" i="8" s="1"/>
  <c r="AA34" i="8"/>
  <c r="AB34" i="8" s="1"/>
  <c r="AC34" i="8" s="1"/>
  <c r="AD34" i="8" s="1"/>
  <c r="AF34" i="8" s="1"/>
  <c r="AG34" i="8" s="1"/>
  <c r="BE58" i="8"/>
  <c r="BF58" i="8" s="1"/>
  <c r="BG58" i="8" s="1"/>
  <c r="BH58" i="8" s="1"/>
  <c r="BJ58" i="8" s="1"/>
  <c r="BK58" i="8" s="1"/>
  <c r="AP57" i="8"/>
  <c r="AQ57" i="8" s="1"/>
  <c r="AP60" i="8"/>
  <c r="AQ60" i="8" s="1"/>
  <c r="BE52" i="8"/>
  <c r="BF52" i="8" s="1"/>
  <c r="BG52" i="8" s="1"/>
  <c r="BH52" i="8" s="1"/>
  <c r="BE31" i="8"/>
  <c r="BF31" i="8" s="1"/>
  <c r="BG31" i="8" s="1"/>
  <c r="BH31" i="8" s="1"/>
  <c r="AP20" i="8"/>
  <c r="AQ20" i="8" s="1"/>
  <c r="AP7" i="8"/>
  <c r="AQ7" i="8" s="1"/>
  <c r="AR7" i="8" s="1"/>
  <c r="AS7" i="8" s="1"/>
  <c r="AV7" i="8" s="1"/>
  <c r="BE23" i="8"/>
  <c r="BF23" i="8" s="1"/>
  <c r="BG23" i="8" s="1"/>
  <c r="BH23" i="8" s="1"/>
  <c r="BE55" i="8"/>
  <c r="BF55" i="8" s="1"/>
  <c r="BG55" i="8" s="1"/>
  <c r="BH55" i="8" s="1"/>
  <c r="BJ55" i="8" s="1"/>
  <c r="BK55" i="8" s="1"/>
  <c r="AP23" i="8"/>
  <c r="AQ23" i="8" s="1"/>
  <c r="AR23" i="8" s="1"/>
  <c r="AS23" i="8" s="1"/>
  <c r="AP34" i="8"/>
  <c r="AQ34" i="8" s="1"/>
  <c r="AA27" i="8"/>
  <c r="AB27" i="8" s="1"/>
  <c r="AC27" i="8" s="1"/>
  <c r="AD27" i="8" s="1"/>
  <c r="AF27" i="8" s="1"/>
  <c r="AG27" i="8" s="1"/>
  <c r="AA53" i="8"/>
  <c r="AB53" i="8" s="1"/>
  <c r="BE7" i="8"/>
  <c r="BF7" i="8" s="1"/>
  <c r="BG7" i="8" s="1"/>
  <c r="BH7" i="8" s="1"/>
  <c r="BK7" i="8" s="1"/>
  <c r="BE5" i="8"/>
  <c r="BF5" i="8" s="1"/>
  <c r="BG5" i="8" s="1"/>
  <c r="BH5" i="8" s="1"/>
  <c r="BJ5" i="8" s="1"/>
  <c r="BK5" i="8" s="1"/>
  <c r="AP13" i="8"/>
  <c r="AQ13" i="8" s="1"/>
  <c r="AR13" i="8" s="1"/>
  <c r="AS13" i="8" s="1"/>
  <c r="AU13" i="8" s="1"/>
  <c r="AV13" i="8" s="1"/>
  <c r="BE62" i="8"/>
  <c r="BF62" i="8" s="1"/>
  <c r="BG62" i="8" s="1"/>
  <c r="BH62" i="8" s="1"/>
  <c r="BJ62" i="8" s="1"/>
  <c r="BK62" i="8" s="1"/>
  <c r="AP8" i="8"/>
  <c r="AQ8" i="8" s="1"/>
  <c r="AR8" i="8" s="1"/>
  <c r="AS8" i="8" s="1"/>
  <c r="AU8" i="8" s="1"/>
  <c r="AV8" i="8" s="1"/>
  <c r="BE2" i="8"/>
  <c r="BF2" i="8" s="1"/>
  <c r="BG2" i="8" s="1"/>
  <c r="BH2" i="8" s="1"/>
  <c r="AP29" i="8"/>
  <c r="AQ29" i="8" s="1"/>
  <c r="AR29" i="8" s="1"/>
  <c r="AS29" i="8" s="1"/>
  <c r="AU29" i="8" s="1"/>
  <c r="BE8" i="8"/>
  <c r="BF8" i="8" s="1"/>
  <c r="BG8" i="8" s="1"/>
  <c r="BH8" i="8" s="1"/>
  <c r="BJ8" i="8" s="1"/>
  <c r="BK8" i="8" s="1"/>
  <c r="AP50" i="8"/>
  <c r="AQ50" i="8" s="1"/>
  <c r="BE6" i="8"/>
  <c r="BF6" i="8" s="1"/>
  <c r="BG6" i="8" s="1"/>
  <c r="BH6" i="8" s="1"/>
  <c r="BJ6" i="8" s="1"/>
  <c r="BK6" i="8" s="1"/>
  <c r="AP28" i="8"/>
  <c r="AQ28" i="8" s="1"/>
  <c r="AR28" i="8" s="1"/>
  <c r="AS28" i="8" s="1"/>
  <c r="AV28" i="8" s="1"/>
  <c r="BE53" i="8"/>
  <c r="BF53" i="8" s="1"/>
  <c r="BG53" i="8" s="1"/>
  <c r="BH53" i="8" s="1"/>
  <c r="BJ53" i="8" s="1"/>
  <c r="BK53" i="8" s="1"/>
  <c r="BE27" i="8"/>
  <c r="BF27" i="8" s="1"/>
  <c r="BG27" i="8" s="1"/>
  <c r="BH27" i="8" s="1"/>
  <c r="BJ27" i="8" s="1"/>
  <c r="AA52" i="8"/>
  <c r="AB52" i="8" s="1"/>
  <c r="AA48" i="8"/>
  <c r="AB48" i="8" s="1"/>
  <c r="AC48" i="8" s="1"/>
  <c r="AD48" i="8" s="1"/>
  <c r="AF48" i="8" s="1"/>
  <c r="AP36" i="8"/>
  <c r="AQ36" i="8" s="1"/>
  <c r="BE60" i="8"/>
  <c r="BF60" i="8" s="1"/>
  <c r="BG60" i="8" s="1"/>
  <c r="BH60" i="8" s="1"/>
  <c r="BE50" i="8"/>
  <c r="BF50" i="8" s="1"/>
  <c r="BG50" i="8" s="1"/>
  <c r="BH50" i="8" s="1"/>
  <c r="BJ50" i="8" s="1"/>
  <c r="BK50" i="8" s="1"/>
  <c r="BE44" i="8"/>
  <c r="BF44" i="8" s="1"/>
  <c r="BG44" i="8" s="1"/>
  <c r="BH44" i="8" s="1"/>
  <c r="AP5" i="8"/>
  <c r="AQ5" i="8" s="1"/>
  <c r="AR5" i="8" s="1"/>
  <c r="AS5" i="8" s="1"/>
  <c r="AU5" i="8" s="1"/>
  <c r="AV5" i="8" s="1"/>
  <c r="AA39" i="8"/>
  <c r="AB39" i="8" s="1"/>
  <c r="AC39" i="8" s="1"/>
  <c r="AD39" i="8" s="1"/>
  <c r="AP6" i="8"/>
  <c r="AQ6" i="8" s="1"/>
  <c r="AR6" i="8" s="1"/>
  <c r="AS6" i="8" s="1"/>
  <c r="AU6" i="8" s="1"/>
  <c r="AV6" i="8" s="1"/>
  <c r="BE57" i="8"/>
  <c r="BF57" i="8" s="1"/>
  <c r="BG57" i="8" s="1"/>
  <c r="BH57" i="8" s="1"/>
  <c r="BJ57" i="8" s="1"/>
  <c r="BK57" i="8" s="1"/>
  <c r="BE25" i="8"/>
  <c r="BF25" i="8" s="1"/>
  <c r="BG25" i="8" s="1"/>
  <c r="BH25" i="8" s="1"/>
  <c r="BJ25" i="8" s="1"/>
  <c r="BE45" i="8"/>
  <c r="BF45" i="8" s="1"/>
  <c r="BG45" i="8" s="1"/>
  <c r="BH45" i="8" s="1"/>
  <c r="BJ45" i="8" s="1"/>
  <c r="BK45" i="8" s="1"/>
  <c r="BE39" i="8"/>
  <c r="BF39" i="8" s="1"/>
  <c r="BG39" i="8" s="1"/>
  <c r="BH39" i="8" s="1"/>
  <c r="AP2" i="8"/>
  <c r="AQ2" i="8" s="1"/>
  <c r="AR2" i="8" s="1"/>
  <c r="AS2" i="8" s="1"/>
  <c r="AA32" i="8"/>
  <c r="AB32" i="8" s="1"/>
  <c r="AC32" i="8" s="1"/>
  <c r="AD32" i="8" s="1"/>
  <c r="AF32" i="8" s="1"/>
  <c r="AG32" i="8" s="1"/>
  <c r="AP12" i="8"/>
  <c r="AQ12" i="8" s="1"/>
  <c r="AR12" i="8" s="1"/>
  <c r="AS12" i="8" s="1"/>
  <c r="AU12" i="8" s="1"/>
  <c r="AV12" i="8" s="1"/>
  <c r="BE10" i="8"/>
  <c r="BF10" i="8" s="1"/>
  <c r="BG10" i="8" s="1"/>
  <c r="BH10" i="8" s="1"/>
  <c r="BE16" i="8"/>
  <c r="BF16" i="8" s="1"/>
  <c r="BG16" i="8" s="1"/>
  <c r="BH16" i="8" s="1"/>
  <c r="BJ16" i="8" s="1"/>
  <c r="BK16" i="8" s="1"/>
  <c r="AP53" i="8"/>
  <c r="AQ53" i="8" s="1"/>
  <c r="BE24" i="8"/>
  <c r="BF24" i="8" s="1"/>
  <c r="BG24" i="8" s="1"/>
  <c r="BH24" i="8" s="1"/>
  <c r="BJ24" i="8" s="1"/>
  <c r="BK24" i="8" s="1"/>
  <c r="BE14" i="8"/>
  <c r="BF14" i="8" s="1"/>
  <c r="BG14" i="8" s="1"/>
  <c r="BH14" i="8" s="1"/>
  <c r="BJ14" i="8" s="1"/>
  <c r="BK14" i="8" s="1"/>
  <c r="AA33" i="8"/>
  <c r="AB33" i="8" s="1"/>
  <c r="AC33" i="8" s="1"/>
  <c r="AD33" i="8" s="1"/>
  <c r="AF33" i="8" s="1"/>
  <c r="AG33" i="8" s="1"/>
  <c r="AP14" i="8"/>
  <c r="AQ14" i="8" s="1"/>
  <c r="AR14" i="8" s="1"/>
  <c r="AS14" i="8" s="1"/>
  <c r="AU14" i="8" s="1"/>
  <c r="AV14" i="8" s="1"/>
  <c r="AP52" i="8"/>
  <c r="AQ52" i="8" s="1"/>
  <c r="AP37" i="8"/>
  <c r="AQ37" i="8" s="1"/>
  <c r="BE15" i="8"/>
  <c r="BF15" i="8" s="1"/>
  <c r="BG15" i="8" s="1"/>
  <c r="BH15" i="8" s="1"/>
  <c r="BJ15" i="8" s="1"/>
  <c r="BK15" i="8" s="1"/>
  <c r="AP61" i="8"/>
  <c r="AQ61" i="8" s="1"/>
  <c r="AP47" i="8"/>
  <c r="AQ47" i="8" s="1"/>
  <c r="AA31" i="8"/>
  <c r="AB31" i="8" s="1"/>
  <c r="AA37" i="8"/>
  <c r="AB37" i="8" s="1"/>
  <c r="AC37" i="8" s="1"/>
  <c r="AD37" i="8" s="1"/>
  <c r="AF37" i="8" s="1"/>
  <c r="AG37" i="8" s="1"/>
  <c r="AA49" i="8"/>
  <c r="AB49" i="8" s="1"/>
  <c r="AC49" i="8" s="1"/>
  <c r="AD49" i="8" s="1"/>
  <c r="AF49" i="8" s="1"/>
  <c r="AG49" i="8" s="1"/>
  <c r="AA45" i="8"/>
  <c r="AB45" i="8" s="1"/>
  <c r="AC45" i="8" s="1"/>
  <c r="AD45" i="8" s="1"/>
  <c r="AF45" i="8" s="1"/>
  <c r="AG45" i="8" s="1"/>
  <c r="AA23" i="8"/>
  <c r="AA36" i="8"/>
  <c r="AB36" i="8" s="1"/>
  <c r="AC36" i="8" s="1"/>
  <c r="AD36" i="8" s="1"/>
  <c r="AF36" i="8" s="1"/>
  <c r="AG36" i="8" s="1"/>
  <c r="AA44" i="8"/>
  <c r="AB44" i="8" s="1"/>
  <c r="AA57" i="8"/>
  <c r="AB57" i="8" s="1"/>
  <c r="AA24" i="8"/>
  <c r="AB24" i="8" s="1"/>
  <c r="AA26" i="8"/>
  <c r="AB26" i="8" s="1"/>
  <c r="AA47" i="8"/>
  <c r="AB47" i="8" s="1"/>
  <c r="AC47" i="8" s="1"/>
  <c r="AD47" i="8" s="1"/>
  <c r="AF47" i="8" s="1"/>
  <c r="AG47" i="8" s="1"/>
  <c r="AA46" i="8"/>
  <c r="AB46" i="8" s="1"/>
  <c r="AC46" i="8" s="1"/>
  <c r="AD46" i="8" s="1"/>
  <c r="AF46" i="8" s="1"/>
  <c r="AA54" i="8"/>
  <c r="AB54" i="8" s="1"/>
  <c r="AA58" i="8"/>
  <c r="AB58" i="8" s="1"/>
  <c r="Z20" i="8"/>
  <c r="AA20" i="8" s="1"/>
  <c r="AB20" i="8" s="1"/>
  <c r="Z18" i="8"/>
  <c r="AA18" i="8" s="1"/>
  <c r="AB18" i="8" s="1"/>
  <c r="AA5" i="8"/>
  <c r="AB5" i="8" s="1"/>
  <c r="AC5" i="8" s="1"/>
  <c r="AD5" i="8" s="1"/>
  <c r="AF5" i="8" s="1"/>
  <c r="AG5" i="8" s="1"/>
  <c r="N27" i="8"/>
  <c r="O27" i="8" s="1"/>
  <c r="P27" i="8" s="1"/>
  <c r="Q27" i="8" s="1"/>
  <c r="R27" i="8" s="1"/>
  <c r="N21" i="8"/>
  <c r="O21" i="8" s="1"/>
  <c r="P21" i="8" s="1"/>
  <c r="Q21" i="8" s="1"/>
  <c r="R21" i="8" s="1"/>
  <c r="N18" i="8"/>
  <c r="O18" i="8" s="1"/>
  <c r="P18" i="8" s="1"/>
  <c r="Q18" i="8" s="1"/>
  <c r="R18" i="8" s="1"/>
  <c r="AA13" i="8"/>
  <c r="AB13" i="8" s="1"/>
  <c r="AA14" i="8"/>
  <c r="AB14" i="8" s="1"/>
  <c r="AA11" i="8"/>
  <c r="AB11" i="8" s="1"/>
  <c r="AA15" i="8"/>
  <c r="AB15" i="8" s="1"/>
  <c r="AA16" i="8"/>
  <c r="AB16" i="8" s="1"/>
  <c r="AA10" i="8"/>
  <c r="AB10" i="8" s="1"/>
  <c r="AA12" i="8"/>
  <c r="AB12" i="8" s="1"/>
  <c r="AA8" i="8"/>
  <c r="AB8" i="8" s="1"/>
  <c r="AC8" i="8" s="1"/>
  <c r="AD8" i="8" s="1"/>
  <c r="AF8" i="8" s="1"/>
  <c r="AG8" i="8" s="1"/>
  <c r="AA7" i="8"/>
  <c r="AB7" i="8" s="1"/>
  <c r="AC7" i="8" s="1"/>
  <c r="AD7" i="8" s="1"/>
  <c r="AG7" i="8" s="1"/>
  <c r="AA6" i="8"/>
  <c r="AB6" i="8" s="1"/>
  <c r="AC6" i="8" s="1"/>
  <c r="AD6" i="8" s="1"/>
  <c r="AF6" i="8" s="1"/>
  <c r="AG6" i="8" s="1"/>
  <c r="O17" i="8"/>
  <c r="P17" i="8" s="1"/>
  <c r="Q17" i="8" s="1"/>
  <c r="R17" i="8" s="1"/>
  <c r="Z4" i="8"/>
  <c r="AA4" i="8" s="1"/>
  <c r="N19" i="8"/>
  <c r="O19" i="8" s="1"/>
  <c r="P19" i="8" s="1"/>
  <c r="Q19" i="8" s="1"/>
  <c r="R19" i="8" s="1"/>
  <c r="N15" i="8"/>
  <c r="O15" i="8" s="1"/>
  <c r="P15" i="8" s="1"/>
  <c r="Q15" i="8" s="1"/>
  <c r="R15" i="8" s="1"/>
  <c r="N9" i="8"/>
  <c r="O9" i="8" s="1"/>
  <c r="P9" i="8" s="1"/>
  <c r="Q9" i="8" s="1"/>
  <c r="R9" i="8" s="1"/>
  <c r="N10" i="8"/>
  <c r="O10" i="8" s="1"/>
  <c r="P10" i="8" s="1"/>
  <c r="Q10" i="8" s="1"/>
  <c r="R10" i="8" s="1"/>
  <c r="N4" i="8"/>
  <c r="O4" i="8" s="1"/>
  <c r="P4" i="8" s="1"/>
  <c r="Q4" i="8" s="1"/>
  <c r="R4" i="8" s="1"/>
  <c r="AO3" i="8" s="1"/>
  <c r="AP3" i="8" s="1"/>
  <c r="AQ3" i="8" s="1"/>
  <c r="O23" i="8"/>
  <c r="P23" i="8" s="1"/>
  <c r="Q23" i="8" s="1"/>
  <c r="R23" i="8" s="1"/>
  <c r="AA2" i="8"/>
  <c r="AB2" i="8" s="1"/>
  <c r="AC2" i="8" s="1"/>
  <c r="O20" i="8"/>
  <c r="P20" i="8" s="1"/>
  <c r="Q20" i="8" s="1"/>
  <c r="R20" i="8" s="1"/>
  <c r="O5" i="8"/>
  <c r="P5" i="8" s="1"/>
  <c r="Q5" i="8" s="1"/>
  <c r="R5" i="8" s="1"/>
  <c r="O6" i="8"/>
  <c r="P6" i="8" s="1"/>
  <c r="Q6" i="8" s="1"/>
  <c r="R6" i="8" s="1"/>
  <c r="O26" i="8"/>
  <c r="P26" i="8" s="1"/>
  <c r="Q26" i="8" s="1"/>
  <c r="R26" i="8" s="1"/>
  <c r="O2" i="8"/>
  <c r="P2" i="8" s="1"/>
  <c r="O11" i="8"/>
  <c r="P11" i="8" s="1"/>
  <c r="Q11" i="8" s="1"/>
  <c r="R11" i="8" s="1"/>
  <c r="AA3" i="8"/>
  <c r="AB3" i="8" s="1"/>
  <c r="O14" i="8"/>
  <c r="P14" i="8" s="1"/>
  <c r="Q14" i="8" s="1"/>
  <c r="R14" i="8" s="1"/>
  <c r="O8" i="8"/>
  <c r="P8" i="8" s="1"/>
  <c r="Q8" i="8" s="1"/>
  <c r="R8" i="8" s="1"/>
  <c r="N25" i="8"/>
  <c r="O25" i="8" s="1"/>
  <c r="P25" i="8" s="1"/>
  <c r="Q25" i="8" s="1"/>
  <c r="R25" i="8" s="1"/>
  <c r="N22" i="8"/>
  <c r="O22" i="8" s="1"/>
  <c r="P22" i="8" s="1"/>
  <c r="Q22" i="8" s="1"/>
  <c r="R22" i="8" s="1"/>
  <c r="N16" i="8"/>
  <c r="O16" i="8" s="1"/>
  <c r="P16" i="8" s="1"/>
  <c r="Q16" i="8" s="1"/>
  <c r="R16" i="8" s="1"/>
  <c r="N28" i="8"/>
  <c r="O28" i="8" s="1"/>
  <c r="P28" i="8" s="1"/>
  <c r="Q28" i="8" s="1"/>
  <c r="R28" i="8" s="1"/>
  <c r="A65" i="8"/>
  <c r="C53" i="8" s="1"/>
  <c r="A47" i="8" s="1"/>
  <c r="C63" i="8"/>
  <c r="N3" i="8"/>
  <c r="O3" i="8" s="1"/>
  <c r="P3" i="8" s="1"/>
  <c r="Q3" i="8" s="1"/>
  <c r="R3" i="8" s="1"/>
  <c r="C52" i="8"/>
  <c r="N24" i="8"/>
  <c r="O24" i="8" s="1"/>
  <c r="P24" i="8" s="1"/>
  <c r="Q24" i="8" s="1"/>
  <c r="R24" i="8" s="1"/>
  <c r="I13" i="8"/>
  <c r="N13" i="8" s="1"/>
  <c r="O13" i="8" s="1"/>
  <c r="P13" i="8" s="1"/>
  <c r="Q13" i="8" s="1"/>
  <c r="R13" i="8" s="1"/>
  <c r="N12" i="8"/>
  <c r="O12" i="8" s="1"/>
  <c r="P12" i="8" s="1"/>
  <c r="Q12" i="8" s="1"/>
  <c r="R12" i="8" s="1"/>
  <c r="N7" i="8"/>
  <c r="O7" i="8" s="1"/>
  <c r="P7" i="8" s="1"/>
  <c r="Q7" i="8" s="1"/>
  <c r="R7" i="8" s="1"/>
  <c r="O39" i="10" l="1"/>
  <c r="P39" i="10" s="1"/>
  <c r="Q39" i="10" s="1"/>
  <c r="R39" i="10" s="1"/>
  <c r="S39" i="10" s="1"/>
  <c r="O57" i="10"/>
  <c r="P57" i="10" s="1"/>
  <c r="Q57" i="10" s="1"/>
  <c r="R57" i="10" s="1"/>
  <c r="S57" i="10" s="1"/>
  <c r="O45" i="10"/>
  <c r="P45" i="10" s="1"/>
  <c r="Q45" i="10" s="1"/>
  <c r="R45" i="10" s="1"/>
  <c r="S45" i="10" s="1"/>
  <c r="O51" i="10"/>
  <c r="P51" i="10" s="1"/>
  <c r="Q51" i="10" s="1"/>
  <c r="R51" i="10" s="1"/>
  <c r="S51" i="10" s="1"/>
  <c r="AC8" i="10"/>
  <c r="AD8" i="10" s="1"/>
  <c r="AB9" i="10"/>
  <c r="AC9" i="10" s="1"/>
  <c r="AD9" i="10" s="1"/>
  <c r="AB24" i="10"/>
  <c r="AC11" i="10"/>
  <c r="O9" i="10"/>
  <c r="P9" i="10" s="1"/>
  <c r="Q9" i="10" s="1"/>
  <c r="R9" i="10" s="1"/>
  <c r="S9" i="10" s="1"/>
  <c r="O33" i="10"/>
  <c r="P33" i="10" s="1"/>
  <c r="Q33" i="10" s="1"/>
  <c r="R33" i="10" s="1"/>
  <c r="S33" i="10" s="1"/>
  <c r="O21" i="10"/>
  <c r="P21" i="10" s="1"/>
  <c r="Q21" i="10" s="1"/>
  <c r="R21" i="10" s="1"/>
  <c r="S21" i="10" s="1"/>
  <c r="R49" i="10"/>
  <c r="S49" i="10" s="1"/>
  <c r="R53" i="10"/>
  <c r="S53" i="10" s="1"/>
  <c r="R27" i="10"/>
  <c r="S27" i="10" s="1"/>
  <c r="S23" i="10"/>
  <c r="AG63" i="8"/>
  <c r="L62" i="8"/>
  <c r="L64" i="8"/>
  <c r="L63" i="8"/>
  <c r="T5" i="9"/>
  <c r="R9" i="9"/>
  <c r="AG51" i="8"/>
  <c r="BK63" i="8"/>
  <c r="BK38" i="8"/>
  <c r="AS30" i="8"/>
  <c r="R44" i="8" s="1"/>
  <c r="BG47" i="8"/>
  <c r="BH47" i="8" s="1"/>
  <c r="AU10" i="8"/>
  <c r="AS17" i="8"/>
  <c r="R42" i="8" s="1"/>
  <c r="BH59" i="8"/>
  <c r="R57" i="8" s="1"/>
  <c r="BJ52" i="8"/>
  <c r="BJ59" i="8" s="1"/>
  <c r="BH38" i="8"/>
  <c r="R54" i="8" s="1"/>
  <c r="BJ31" i="8"/>
  <c r="BJ38" i="8" s="1"/>
  <c r="BH30" i="8"/>
  <c r="R53" i="8" s="1"/>
  <c r="BJ23" i="8"/>
  <c r="BJ30" i="8" s="1"/>
  <c r="BH9" i="8"/>
  <c r="R50" i="8" s="1"/>
  <c r="BJ2" i="8"/>
  <c r="BH63" i="8"/>
  <c r="R58" i="8" s="1"/>
  <c r="BJ60" i="8"/>
  <c r="BJ63" i="8" s="1"/>
  <c r="BJ44" i="8"/>
  <c r="AF39" i="8"/>
  <c r="AD42" i="8"/>
  <c r="R37" i="8" s="1"/>
  <c r="BH42" i="8"/>
  <c r="R55" i="8" s="1"/>
  <c r="BJ39" i="8"/>
  <c r="BJ42" i="8" s="1"/>
  <c r="BH17" i="8"/>
  <c r="R51" i="8" s="1"/>
  <c r="BJ10" i="8"/>
  <c r="AU39" i="8"/>
  <c r="AS42" i="8"/>
  <c r="R46" i="8" s="1"/>
  <c r="BH21" i="8"/>
  <c r="R52" i="8" s="1"/>
  <c r="BJ18" i="8"/>
  <c r="BK59" i="8"/>
  <c r="AV29" i="8"/>
  <c r="AU31" i="8"/>
  <c r="AV31" i="8" s="1"/>
  <c r="BK26" i="8"/>
  <c r="BK30" i="8" s="1"/>
  <c r="AR55" i="8"/>
  <c r="AS55" i="8" s="1"/>
  <c r="AU55" i="8" s="1"/>
  <c r="AV55" i="8" s="1"/>
  <c r="AU44" i="8"/>
  <c r="AR58" i="8"/>
  <c r="AS58" i="8" s="1"/>
  <c r="AU58" i="8" s="1"/>
  <c r="AV58" i="8" s="1"/>
  <c r="AR56" i="8"/>
  <c r="AS56" i="8" s="1"/>
  <c r="AU56" i="8" s="1"/>
  <c r="AV56" i="8" s="1"/>
  <c r="AR61" i="8"/>
  <c r="AS61" i="8" s="1"/>
  <c r="AU61" i="8" s="1"/>
  <c r="AV61" i="8" s="1"/>
  <c r="AR54" i="8"/>
  <c r="AS54" i="8" s="1"/>
  <c r="AU54" i="8" s="1"/>
  <c r="AV54" i="8" s="1"/>
  <c r="AR52" i="8"/>
  <c r="AS52" i="8" s="1"/>
  <c r="AR60" i="8"/>
  <c r="AS60" i="8" s="1"/>
  <c r="AR53" i="8"/>
  <c r="AS53" i="8" s="1"/>
  <c r="AU53" i="8" s="1"/>
  <c r="AV53" i="8" s="1"/>
  <c r="AR62" i="8"/>
  <c r="AS62" i="8" s="1"/>
  <c r="AU62" i="8" s="1"/>
  <c r="AV62" i="8" s="1"/>
  <c r="AR57" i="8"/>
  <c r="AS57" i="8" s="1"/>
  <c r="AU57" i="8" s="1"/>
  <c r="AV57" i="8" s="1"/>
  <c r="AR48" i="8"/>
  <c r="AS48" i="8" s="1"/>
  <c r="AU48" i="8" s="1"/>
  <c r="AV48" i="8" s="1"/>
  <c r="AR47" i="8"/>
  <c r="AS47" i="8" s="1"/>
  <c r="AU47" i="8" s="1"/>
  <c r="AV47" i="8" s="1"/>
  <c r="AR45" i="8"/>
  <c r="AS45" i="8" s="1"/>
  <c r="AR50" i="8"/>
  <c r="AS50" i="8" s="1"/>
  <c r="AU50" i="8" s="1"/>
  <c r="AV50" i="8" s="1"/>
  <c r="AC54" i="8"/>
  <c r="AD54" i="8" s="1"/>
  <c r="AF54" i="8" s="1"/>
  <c r="AC57" i="8"/>
  <c r="AD57" i="8" s="1"/>
  <c r="AF57" i="8" s="1"/>
  <c r="AG57" i="8" s="1"/>
  <c r="AC56" i="8"/>
  <c r="AD56" i="8" s="1"/>
  <c r="AF56" i="8" s="1"/>
  <c r="AR20" i="8"/>
  <c r="AS20" i="8" s="1"/>
  <c r="AU20" i="8" s="1"/>
  <c r="AV20" i="8" s="1"/>
  <c r="AR33" i="8"/>
  <c r="AS33" i="8" s="1"/>
  <c r="AR36" i="8"/>
  <c r="AS36" i="8" s="1"/>
  <c r="AU36" i="8" s="1"/>
  <c r="AV36" i="8" s="1"/>
  <c r="AU2" i="8"/>
  <c r="AC52" i="8"/>
  <c r="AD52" i="8" s="1"/>
  <c r="AC53" i="8"/>
  <c r="AD53" i="8" s="1"/>
  <c r="AF53" i="8" s="1"/>
  <c r="AG53" i="8" s="1"/>
  <c r="AR18" i="8"/>
  <c r="AS18" i="8" s="1"/>
  <c r="AC58" i="8"/>
  <c r="AD58" i="8" s="1"/>
  <c r="AF58" i="8" s="1"/>
  <c r="AG58" i="8" s="1"/>
  <c r="AR34" i="8"/>
  <c r="AS34" i="8" s="1"/>
  <c r="AR37" i="8"/>
  <c r="AS37" i="8" s="1"/>
  <c r="AU37" i="8" s="1"/>
  <c r="AV37" i="8" s="1"/>
  <c r="AC60" i="8"/>
  <c r="AD60" i="8" s="1"/>
  <c r="AU23" i="8"/>
  <c r="AR3" i="8"/>
  <c r="AS3" i="8" s="1"/>
  <c r="AC44" i="8"/>
  <c r="AD44" i="8" s="1"/>
  <c r="AB23" i="8"/>
  <c r="AC23" i="8" s="1"/>
  <c r="AD23" i="8" s="1"/>
  <c r="AC31" i="8"/>
  <c r="AD31" i="8" s="1"/>
  <c r="AC26" i="8"/>
  <c r="AD26" i="8" s="1"/>
  <c r="AF26" i="8" s="1"/>
  <c r="AG26" i="8" s="1"/>
  <c r="AC24" i="8"/>
  <c r="AD24" i="8" s="1"/>
  <c r="AF24" i="8" s="1"/>
  <c r="AG24" i="8" s="1"/>
  <c r="AC19" i="8"/>
  <c r="AD19" i="8" s="1"/>
  <c r="AF19" i="8" s="1"/>
  <c r="AG19" i="8" s="1"/>
  <c r="AC18" i="8"/>
  <c r="AD18" i="8" s="1"/>
  <c r="AC20" i="8"/>
  <c r="AD20" i="8" s="1"/>
  <c r="AF20" i="8" s="1"/>
  <c r="AG20" i="8" s="1"/>
  <c r="AC10" i="8"/>
  <c r="AD10" i="8" s="1"/>
  <c r="AC16" i="8"/>
  <c r="AD16" i="8" s="1"/>
  <c r="AF16" i="8" s="1"/>
  <c r="AG16" i="8" s="1"/>
  <c r="AC15" i="8"/>
  <c r="AD15" i="8" s="1"/>
  <c r="AF15" i="8" s="1"/>
  <c r="AG15" i="8" s="1"/>
  <c r="AC14" i="8"/>
  <c r="AD14" i="8" s="1"/>
  <c r="AF14" i="8" s="1"/>
  <c r="AG14" i="8" s="1"/>
  <c r="AC13" i="8"/>
  <c r="AD13" i="8" s="1"/>
  <c r="AF13" i="8" s="1"/>
  <c r="AG13" i="8" s="1"/>
  <c r="AC12" i="8"/>
  <c r="AD12" i="8" s="1"/>
  <c r="AF12" i="8" s="1"/>
  <c r="AG12" i="8" s="1"/>
  <c r="AC11" i="8"/>
  <c r="AD11" i="8" s="1"/>
  <c r="AF11" i="8" s="1"/>
  <c r="AG11" i="8" s="1"/>
  <c r="AC3" i="8"/>
  <c r="AD3" i="8" s="1"/>
  <c r="AF3" i="8" s="1"/>
  <c r="AG3" i="8" s="1"/>
  <c r="AB4" i="8"/>
  <c r="AC4" i="8" s="1"/>
  <c r="AD4" i="8" s="1"/>
  <c r="AF4" i="8" s="1"/>
  <c r="AG4" i="8" s="1"/>
  <c r="AD2" i="8"/>
  <c r="P29" i="8"/>
  <c r="Q2" i="8"/>
  <c r="O29" i="8"/>
  <c r="AC24" i="10" l="1"/>
  <c r="AD11" i="10"/>
  <c r="AD24" i="10" s="1"/>
  <c r="V28" i="10" s="1"/>
  <c r="S5" i="10"/>
  <c r="S59" i="10" s="1"/>
  <c r="L65" i="8"/>
  <c r="T17" i="9" s="1"/>
  <c r="V5" i="9"/>
  <c r="W5" i="9" s="1"/>
  <c r="T9" i="9"/>
  <c r="AS59" i="8"/>
  <c r="R48" i="8" s="1"/>
  <c r="AG59" i="8"/>
  <c r="AD30" i="8"/>
  <c r="R35" i="8" s="1"/>
  <c r="BH51" i="8"/>
  <c r="R56" i="8" s="1"/>
  <c r="BJ47" i="8"/>
  <c r="AU17" i="8"/>
  <c r="AV10" i="8"/>
  <c r="AV17" i="8" s="1"/>
  <c r="BJ9" i="8"/>
  <c r="BK2" i="8"/>
  <c r="BK9" i="8" s="1"/>
  <c r="AF42" i="8"/>
  <c r="AG39" i="8"/>
  <c r="AG42" i="8" s="1"/>
  <c r="BJ17" i="8"/>
  <c r="BK10" i="8"/>
  <c r="BK17" i="8" s="1"/>
  <c r="AU42" i="8"/>
  <c r="AV39" i="8"/>
  <c r="AV42" i="8" s="1"/>
  <c r="BJ21" i="8"/>
  <c r="BK18" i="8"/>
  <c r="BK21" i="8" s="1"/>
  <c r="AV44" i="8"/>
  <c r="AU60" i="8"/>
  <c r="AS63" i="8"/>
  <c r="R49" i="8" s="1"/>
  <c r="AU45" i="8"/>
  <c r="AS51" i="8"/>
  <c r="R47" i="8" s="1"/>
  <c r="AV2" i="8"/>
  <c r="AF52" i="8"/>
  <c r="AF59" i="8" s="1"/>
  <c r="AD59" i="8"/>
  <c r="R39" i="8" s="1"/>
  <c r="AU18" i="8"/>
  <c r="AS21" i="8"/>
  <c r="R43" i="8" s="1"/>
  <c r="AF60" i="8"/>
  <c r="AF63" i="8" s="1"/>
  <c r="AD63" i="8"/>
  <c r="R40" i="8" s="1"/>
  <c r="AV23" i="8"/>
  <c r="AV30" i="8" s="1"/>
  <c r="AU30" i="8"/>
  <c r="AU3" i="8"/>
  <c r="AS9" i="8"/>
  <c r="R41" i="8" s="1"/>
  <c r="AF44" i="8"/>
  <c r="AF51" i="8" s="1"/>
  <c r="AD51" i="8"/>
  <c r="R38" i="8" s="1"/>
  <c r="AF31" i="8"/>
  <c r="AD38" i="8"/>
  <c r="R36" i="8" s="1"/>
  <c r="AF18" i="8"/>
  <c r="AD21" i="8"/>
  <c r="R34" i="8" s="1"/>
  <c r="AF10" i="8"/>
  <c r="AD17" i="8"/>
  <c r="R33" i="8" s="1"/>
  <c r="AF2" i="8"/>
  <c r="AD9" i="8"/>
  <c r="R32" i="8" s="1"/>
  <c r="AU34" i="8"/>
  <c r="AV34" i="8" s="1"/>
  <c r="AS38" i="8"/>
  <c r="R45" i="8" s="1"/>
  <c r="AU52" i="8"/>
  <c r="AU33" i="8"/>
  <c r="AF23" i="8"/>
  <c r="R2" i="8"/>
  <c r="R29" i="8" s="1"/>
  <c r="T13" i="9" s="1"/>
  <c r="Q29" i="8"/>
  <c r="U28" i="10" l="1"/>
  <c r="W28" i="10" s="1"/>
  <c r="V13" i="9"/>
  <c r="X18" i="9"/>
  <c r="AV45" i="8"/>
  <c r="AV51" i="8" s="1"/>
  <c r="AU51" i="8"/>
  <c r="BJ51" i="8"/>
  <c r="BK47" i="8"/>
  <c r="BK51" i="8" s="1"/>
  <c r="AV3" i="8"/>
  <c r="AV9" i="8" s="1"/>
  <c r="AU9" i="8"/>
  <c r="AU63" i="8"/>
  <c r="AV60" i="8"/>
  <c r="AV63" i="8" s="1"/>
  <c r="AU21" i="8"/>
  <c r="AV18" i="8"/>
  <c r="AV21" i="8" s="1"/>
  <c r="AF38" i="8"/>
  <c r="AG31" i="8"/>
  <c r="AG38" i="8" s="1"/>
  <c r="AF21" i="8"/>
  <c r="AG18" i="8"/>
  <c r="AG21" i="8" s="1"/>
  <c r="AF17" i="8"/>
  <c r="AG10" i="8"/>
  <c r="AG17" i="8" s="1"/>
  <c r="AF9" i="8"/>
  <c r="AG2" i="8"/>
  <c r="AG9" i="8" s="1"/>
  <c r="R59" i="8"/>
  <c r="T14" i="9" s="1"/>
  <c r="AV52" i="8"/>
  <c r="AV59" i="8" s="1"/>
  <c r="AU59" i="8"/>
  <c r="AG23" i="8"/>
  <c r="AG30" i="8" s="1"/>
  <c r="AF30" i="8"/>
  <c r="AV33" i="8"/>
  <c r="AV38" i="8" s="1"/>
  <c r="AU38" i="8"/>
  <c r="C52" i="7"/>
  <c r="C53" i="7" s="1"/>
  <c r="T18" i="9" l="1"/>
  <c r="X16" i="9"/>
  <c r="X14" i="9"/>
  <c r="V14" i="9"/>
  <c r="V18" i="9" s="1"/>
  <c r="AA33" i="7"/>
  <c r="Z33" i="7"/>
  <c r="Y33" i="7"/>
  <c r="M33" i="7"/>
  <c r="L33" i="7"/>
  <c r="K33" i="7"/>
  <c r="Z28" i="7"/>
  <c r="Y28" i="7"/>
  <c r="X28" i="7"/>
  <c r="AA27" i="7"/>
  <c r="Z27" i="7"/>
  <c r="Y27" i="7"/>
  <c r="X27" i="7"/>
  <c r="K27" i="7"/>
  <c r="J27" i="7"/>
  <c r="AB26" i="7"/>
  <c r="AA26" i="7"/>
  <c r="Z26" i="7"/>
  <c r="Y26" i="7"/>
  <c r="X26" i="7"/>
  <c r="N26" i="7"/>
  <c r="M26" i="7"/>
  <c r="M27" i="7" s="1"/>
  <c r="L26" i="7"/>
  <c r="L28" i="7" s="1"/>
  <c r="K26" i="7"/>
  <c r="K28" i="7" s="1"/>
  <c r="J26" i="7"/>
  <c r="J28" i="7" s="1"/>
  <c r="Z25" i="7"/>
  <c r="Y25" i="7"/>
  <c r="X25" i="7"/>
  <c r="AB24" i="7"/>
  <c r="AA24" i="7"/>
  <c r="Z24" i="7"/>
  <c r="Y24" i="7"/>
  <c r="X24" i="7"/>
  <c r="AB23" i="7"/>
  <c r="AA23" i="7"/>
  <c r="Z23" i="7"/>
  <c r="Y23" i="7"/>
  <c r="X23" i="7"/>
  <c r="N23" i="7"/>
  <c r="M23" i="7"/>
  <c r="L23" i="7"/>
  <c r="L25" i="7" s="1"/>
  <c r="K23" i="7"/>
  <c r="K24" i="7" s="1"/>
  <c r="J23" i="7"/>
  <c r="J24" i="7" s="1"/>
  <c r="Z22" i="7"/>
  <c r="Y22" i="7"/>
  <c r="X22" i="7"/>
  <c r="N22" i="7"/>
  <c r="AB21" i="7"/>
  <c r="AA21" i="7"/>
  <c r="Z21" i="7"/>
  <c r="Y21" i="7"/>
  <c r="X21" i="7"/>
  <c r="AB20" i="7"/>
  <c r="AA20" i="7"/>
  <c r="Z20" i="7"/>
  <c r="Y20" i="7"/>
  <c r="X20" i="7"/>
  <c r="N20" i="7"/>
  <c r="M20" i="7"/>
  <c r="L20" i="7"/>
  <c r="L22" i="7" s="1"/>
  <c r="K20" i="7"/>
  <c r="K22" i="7" s="1"/>
  <c r="J20" i="7"/>
  <c r="J22" i="7" s="1"/>
  <c r="AB19" i="7"/>
  <c r="AA19" i="7"/>
  <c r="Z19" i="7"/>
  <c r="Y19" i="7"/>
  <c r="X19" i="7"/>
  <c r="AA18" i="7"/>
  <c r="Z18" i="7"/>
  <c r="Y18" i="7"/>
  <c r="X18" i="7"/>
  <c r="F18" i="7"/>
  <c r="AB33" i="7" s="1"/>
  <c r="E18" i="7"/>
  <c r="AA22" i="7" s="1"/>
  <c r="D18" i="7"/>
  <c r="M46" i="7" s="1"/>
  <c r="C18" i="7"/>
  <c r="B18" i="7"/>
  <c r="J33" i="7" s="1"/>
  <c r="AB17" i="7"/>
  <c r="AA17" i="7"/>
  <c r="Z17" i="7"/>
  <c r="Y17" i="7"/>
  <c r="X17" i="7"/>
  <c r="N17" i="7"/>
  <c r="M17" i="7"/>
  <c r="M18" i="7" s="1"/>
  <c r="L17" i="7"/>
  <c r="L18" i="7" s="1"/>
  <c r="K17" i="7"/>
  <c r="K18" i="7" s="1"/>
  <c r="J17" i="7"/>
  <c r="J18" i="7" s="1"/>
  <c r="Z16" i="7"/>
  <c r="Y16" i="7"/>
  <c r="X16" i="7"/>
  <c r="N16" i="7"/>
  <c r="L16" i="7"/>
  <c r="AA15" i="7"/>
  <c r="Z15" i="7"/>
  <c r="Y15" i="7"/>
  <c r="X15" i="7"/>
  <c r="N15" i="7"/>
  <c r="AB14" i="7"/>
  <c r="AA14" i="7"/>
  <c r="Z14" i="7"/>
  <c r="Y14" i="7"/>
  <c r="X14" i="7"/>
  <c r="N14" i="7"/>
  <c r="M14" i="7"/>
  <c r="M15" i="7" s="1"/>
  <c r="L14" i="7"/>
  <c r="L15" i="7" s="1"/>
  <c r="K14" i="7"/>
  <c r="K16" i="7" s="1"/>
  <c r="J14" i="7"/>
  <c r="J16" i="7" s="1"/>
  <c r="AB13" i="7"/>
  <c r="AA13" i="7"/>
  <c r="Z13" i="7"/>
  <c r="Y13" i="7"/>
  <c r="X13" i="7"/>
  <c r="Z12" i="7"/>
  <c r="Y12" i="7"/>
  <c r="X12" i="7"/>
  <c r="AB11" i="7"/>
  <c r="AA11" i="7"/>
  <c r="AA12" i="7" s="1"/>
  <c r="Z11" i="7"/>
  <c r="Y11" i="7"/>
  <c r="X11" i="7"/>
  <c r="AC11" i="7" s="1"/>
  <c r="N11" i="7"/>
  <c r="N12" i="7" s="1"/>
  <c r="M11" i="7"/>
  <c r="M12" i="7" s="1"/>
  <c r="L11" i="7"/>
  <c r="L12" i="7" s="1"/>
  <c r="L13" i="7" s="1"/>
  <c r="K11" i="7"/>
  <c r="K12" i="7" s="1"/>
  <c r="J11" i="7"/>
  <c r="J12" i="7" s="1"/>
  <c r="J13" i="7" s="1"/>
  <c r="Z10" i="7"/>
  <c r="Y10" i="7"/>
  <c r="X10" i="7"/>
  <c r="AA9" i="7"/>
  <c r="Z9" i="7"/>
  <c r="Y9" i="7"/>
  <c r="X9" i="7"/>
  <c r="J9" i="7"/>
  <c r="AB8" i="7"/>
  <c r="AA8" i="7"/>
  <c r="Z8" i="7"/>
  <c r="Y8" i="7"/>
  <c r="X8" i="7"/>
  <c r="N8" i="7"/>
  <c r="M8" i="7"/>
  <c r="M9" i="7" s="1"/>
  <c r="L8" i="7"/>
  <c r="K8" i="7"/>
  <c r="K9" i="7" s="1"/>
  <c r="K10" i="7" s="1"/>
  <c r="J8" i="7"/>
  <c r="Z7" i="7"/>
  <c r="Y7" i="7"/>
  <c r="X7" i="7"/>
  <c r="AB6" i="7"/>
  <c r="AA6" i="7"/>
  <c r="Z6" i="7"/>
  <c r="Y6" i="7"/>
  <c r="X6" i="7"/>
  <c r="AB5" i="7"/>
  <c r="AA5" i="7"/>
  <c r="Z5" i="7"/>
  <c r="Y5" i="7"/>
  <c r="X5" i="7"/>
  <c r="N5" i="7"/>
  <c r="M5" i="7"/>
  <c r="M6" i="7" s="1"/>
  <c r="L5" i="7"/>
  <c r="L7" i="7" s="1"/>
  <c r="K5" i="7"/>
  <c r="K7" i="7" s="1"/>
  <c r="J5" i="7"/>
  <c r="J6" i="7" s="1"/>
  <c r="Z4" i="7"/>
  <c r="Y4" i="7"/>
  <c r="X4" i="7"/>
  <c r="AA3" i="7"/>
  <c r="Z3" i="7"/>
  <c r="Y3" i="7"/>
  <c r="X3" i="7"/>
  <c r="J3" i="7"/>
  <c r="AB2" i="7"/>
  <c r="AA2" i="7"/>
  <c r="Z2" i="7"/>
  <c r="Y2" i="7"/>
  <c r="X2" i="7"/>
  <c r="N2" i="7"/>
  <c r="M2" i="7"/>
  <c r="L2" i="7"/>
  <c r="L4" i="7" s="1"/>
  <c r="K2" i="7"/>
  <c r="K3" i="7" s="1"/>
  <c r="J2" i="7"/>
  <c r="J4" i="7" s="1"/>
  <c r="AE3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" i="6"/>
  <c r="X55" i="6"/>
  <c r="W55" i="6"/>
  <c r="AD45" i="6"/>
  <c r="AC45" i="6"/>
  <c r="AB45" i="6"/>
  <c r="Z45" i="6"/>
  <c r="P55" i="6"/>
  <c r="O55" i="6"/>
  <c r="N55" i="6"/>
  <c r="M55" i="6"/>
  <c r="L55" i="6"/>
  <c r="K55" i="6"/>
  <c r="AA33" i="6"/>
  <c r="Z33" i="6"/>
  <c r="Y33" i="6"/>
  <c r="M33" i="6"/>
  <c r="L33" i="6"/>
  <c r="K33" i="6"/>
  <c r="J33" i="6"/>
  <c r="AB28" i="6"/>
  <c r="AA28" i="6"/>
  <c r="Z28" i="6"/>
  <c r="Y28" i="6"/>
  <c r="X28" i="6"/>
  <c r="AA27" i="6"/>
  <c r="Z27" i="6"/>
  <c r="Y27" i="6"/>
  <c r="X27" i="6"/>
  <c r="M27" i="6"/>
  <c r="L27" i="6"/>
  <c r="K27" i="6"/>
  <c r="J27" i="6"/>
  <c r="AB26" i="6"/>
  <c r="AC26" i="6" s="1"/>
  <c r="AA26" i="6"/>
  <c r="Z26" i="6"/>
  <c r="Y26" i="6"/>
  <c r="X26" i="6"/>
  <c r="N26" i="6"/>
  <c r="M26" i="6"/>
  <c r="L26" i="6"/>
  <c r="L28" i="6" s="1"/>
  <c r="K26" i="6"/>
  <c r="K28" i="6" s="1"/>
  <c r="J26" i="6"/>
  <c r="J28" i="6" s="1"/>
  <c r="Z25" i="6"/>
  <c r="Y25" i="6"/>
  <c r="X25" i="6"/>
  <c r="AA24" i="6"/>
  <c r="Z24" i="6"/>
  <c r="Y24" i="6"/>
  <c r="X24" i="6"/>
  <c r="AB23" i="6"/>
  <c r="AA23" i="6"/>
  <c r="Z23" i="6"/>
  <c r="Y23" i="6"/>
  <c r="X23" i="6"/>
  <c r="AC23" i="6" s="1"/>
  <c r="N23" i="6"/>
  <c r="M23" i="6"/>
  <c r="M24" i="6" s="1"/>
  <c r="L23" i="6"/>
  <c r="L24" i="6" s="1"/>
  <c r="K23" i="6"/>
  <c r="K25" i="6" s="1"/>
  <c r="J23" i="6"/>
  <c r="Z22" i="6"/>
  <c r="Y22" i="6"/>
  <c r="X22" i="6"/>
  <c r="N22" i="6"/>
  <c r="AA21" i="6"/>
  <c r="Z21" i="6"/>
  <c r="Y21" i="6"/>
  <c r="X21" i="6"/>
  <c r="AB20" i="6"/>
  <c r="AA20" i="6"/>
  <c r="Z20" i="6"/>
  <c r="Y20" i="6"/>
  <c r="X20" i="6"/>
  <c r="N20" i="6"/>
  <c r="M20" i="6"/>
  <c r="M21" i="6" s="1"/>
  <c r="L20" i="6"/>
  <c r="L22" i="6" s="1"/>
  <c r="K20" i="6"/>
  <c r="K21" i="6" s="1"/>
  <c r="J20" i="6"/>
  <c r="O20" i="6" s="1"/>
  <c r="Z19" i="6"/>
  <c r="Y19" i="6"/>
  <c r="X19" i="6"/>
  <c r="AA18" i="6"/>
  <c r="Z18" i="6"/>
  <c r="Y18" i="6"/>
  <c r="X18" i="6"/>
  <c r="F18" i="6"/>
  <c r="AB18" i="6" s="1"/>
  <c r="AC18" i="6" s="1"/>
  <c r="E18" i="6"/>
  <c r="AA22" i="6" s="1"/>
  <c r="D18" i="6"/>
  <c r="C18" i="6"/>
  <c r="B18" i="6"/>
  <c r="X33" i="6" s="1"/>
  <c r="AB17" i="6"/>
  <c r="AA17" i="6"/>
  <c r="Z17" i="6"/>
  <c r="Y17" i="6"/>
  <c r="X17" i="6"/>
  <c r="N17" i="6"/>
  <c r="M17" i="6"/>
  <c r="M18" i="6" s="1"/>
  <c r="L17" i="6"/>
  <c r="L18" i="6" s="1"/>
  <c r="K17" i="6"/>
  <c r="K18" i="6" s="1"/>
  <c r="J17" i="6"/>
  <c r="O17" i="6" s="1"/>
  <c r="Z16" i="6"/>
  <c r="Y16" i="6"/>
  <c r="X16" i="6"/>
  <c r="N16" i="6"/>
  <c r="M16" i="6"/>
  <c r="AA15" i="6"/>
  <c r="Z15" i="6"/>
  <c r="Y15" i="6"/>
  <c r="X15" i="6"/>
  <c r="M15" i="6"/>
  <c r="L15" i="6"/>
  <c r="K15" i="6"/>
  <c r="J15" i="6"/>
  <c r="AB14" i="6"/>
  <c r="AA14" i="6"/>
  <c r="Z14" i="6"/>
  <c r="Y14" i="6"/>
  <c r="X14" i="6"/>
  <c r="AC14" i="6" s="1"/>
  <c r="N14" i="6"/>
  <c r="O14" i="6" s="1"/>
  <c r="M14" i="6"/>
  <c r="L14" i="6"/>
  <c r="L16" i="6" s="1"/>
  <c r="K14" i="6"/>
  <c r="K16" i="6" s="1"/>
  <c r="J14" i="6"/>
  <c r="J16" i="6" s="1"/>
  <c r="Z13" i="6"/>
  <c r="Y13" i="6"/>
  <c r="X13" i="6"/>
  <c r="AA12" i="6"/>
  <c r="Z12" i="6"/>
  <c r="Y12" i="6"/>
  <c r="X12" i="6"/>
  <c r="N12" i="6"/>
  <c r="M12" i="6"/>
  <c r="AB11" i="6"/>
  <c r="AA11" i="6"/>
  <c r="Z11" i="6"/>
  <c r="Y11" i="6"/>
  <c r="X11" i="6"/>
  <c r="AC11" i="6" s="1"/>
  <c r="N11" i="6"/>
  <c r="M11" i="6"/>
  <c r="L11" i="6"/>
  <c r="L12" i="6" s="1"/>
  <c r="L13" i="6" s="1"/>
  <c r="K11" i="6"/>
  <c r="K12" i="6" s="1"/>
  <c r="K13" i="6" s="1"/>
  <c r="J11" i="6"/>
  <c r="O11" i="6" s="1"/>
  <c r="Z10" i="6"/>
  <c r="Y10" i="6"/>
  <c r="X10" i="6"/>
  <c r="N10" i="6"/>
  <c r="AA9" i="6"/>
  <c r="Z9" i="6"/>
  <c r="Y9" i="6"/>
  <c r="X9" i="6"/>
  <c r="J9" i="6"/>
  <c r="J10" i="6" s="1"/>
  <c r="AB8" i="6"/>
  <c r="AA8" i="6"/>
  <c r="Z8" i="6"/>
  <c r="Y8" i="6"/>
  <c r="X8" i="6"/>
  <c r="N8" i="6"/>
  <c r="M8" i="6"/>
  <c r="M9" i="6" s="1"/>
  <c r="M10" i="6" s="1"/>
  <c r="L8" i="6"/>
  <c r="K8" i="6"/>
  <c r="K9" i="6" s="1"/>
  <c r="K10" i="6" s="1"/>
  <c r="J8" i="6"/>
  <c r="Z7" i="6"/>
  <c r="Y7" i="6"/>
  <c r="X7" i="6"/>
  <c r="AA6" i="6"/>
  <c r="Z6" i="6"/>
  <c r="Y6" i="6"/>
  <c r="X6" i="6"/>
  <c r="AB5" i="6"/>
  <c r="AA5" i="6"/>
  <c r="Z5" i="6"/>
  <c r="Y5" i="6"/>
  <c r="X5" i="6"/>
  <c r="N5" i="6"/>
  <c r="M5" i="6"/>
  <c r="M6" i="6" s="1"/>
  <c r="L5" i="6"/>
  <c r="L6" i="6" s="1"/>
  <c r="K5" i="6"/>
  <c r="K6" i="6" s="1"/>
  <c r="J5" i="6"/>
  <c r="Z4" i="6"/>
  <c r="Y4" i="6"/>
  <c r="X4" i="6"/>
  <c r="AA3" i="6"/>
  <c r="Z3" i="6"/>
  <c r="Y3" i="6"/>
  <c r="X3" i="6"/>
  <c r="N3" i="6"/>
  <c r="L3" i="6"/>
  <c r="AB2" i="6"/>
  <c r="AA2" i="6"/>
  <c r="Z2" i="6"/>
  <c r="Y2" i="6"/>
  <c r="X2" i="6"/>
  <c r="AC2" i="6" s="1"/>
  <c r="N2" i="6"/>
  <c r="M2" i="6"/>
  <c r="M3" i="6" s="1"/>
  <c r="L2" i="6"/>
  <c r="L4" i="6" s="1"/>
  <c r="K2" i="6"/>
  <c r="K3" i="6" s="1"/>
  <c r="J2" i="6"/>
  <c r="J3" i="6" s="1"/>
  <c r="AG39" i="5"/>
  <c r="S41" i="5"/>
  <c r="X39" i="5"/>
  <c r="S40" i="5"/>
  <c r="AG38" i="5"/>
  <c r="S39" i="5"/>
  <c r="Z33" i="5"/>
  <c r="AB33" i="5"/>
  <c r="AA33" i="5"/>
  <c r="Y33" i="5"/>
  <c r="X33" i="5"/>
  <c r="M4" i="7" l="1"/>
  <c r="N7" i="7"/>
  <c r="N3" i="7"/>
  <c r="AA28" i="7"/>
  <c r="M28" i="7"/>
  <c r="N19" i="7"/>
  <c r="AB28" i="7"/>
  <c r="AA4" i="7"/>
  <c r="M7" i="7"/>
  <c r="N6" i="7"/>
  <c r="AA7" i="7"/>
  <c r="AB9" i="7"/>
  <c r="AC9" i="7" s="1"/>
  <c r="N10" i="7"/>
  <c r="N18" i="7"/>
  <c r="O18" i="7" s="1"/>
  <c r="AC8" i="7"/>
  <c r="L19" i="7"/>
  <c r="M3" i="7"/>
  <c r="AA25" i="7"/>
  <c r="AB10" i="7"/>
  <c r="M25" i="7"/>
  <c r="AB25" i="7"/>
  <c r="AC25" i="7" s="1"/>
  <c r="L3" i="7"/>
  <c r="O3" i="7" s="1"/>
  <c r="P3" i="7" s="1"/>
  <c r="Q3" i="7" s="1"/>
  <c r="R3" i="7" s="1"/>
  <c r="S3" i="7" s="1"/>
  <c r="M22" i="7"/>
  <c r="L27" i="7"/>
  <c r="N33" i="7"/>
  <c r="O33" i="7" s="1"/>
  <c r="M10" i="7"/>
  <c r="AA16" i="7"/>
  <c r="N9" i="7"/>
  <c r="AA10" i="7"/>
  <c r="AC10" i="7" s="1"/>
  <c r="N13" i="7"/>
  <c r="K15" i="7"/>
  <c r="K19" i="7"/>
  <c r="AB27" i="7"/>
  <c r="M13" i="7"/>
  <c r="J19" i="7"/>
  <c r="AC27" i="7"/>
  <c r="AC13" i="7"/>
  <c r="M21" i="7"/>
  <c r="AC23" i="7"/>
  <c r="O8" i="7"/>
  <c r="P8" i="7" s="1"/>
  <c r="Q8" i="7" s="1"/>
  <c r="R8" i="7" s="1"/>
  <c r="S8" i="7" s="1"/>
  <c r="AC21" i="7"/>
  <c r="AC17" i="7"/>
  <c r="AC19" i="7"/>
  <c r="O26" i="7"/>
  <c r="K4" i="7"/>
  <c r="O4" i="7" s="1"/>
  <c r="AC5" i="7"/>
  <c r="M16" i="7"/>
  <c r="B19" i="7"/>
  <c r="AC26" i="7"/>
  <c r="AD26" i="7" s="1"/>
  <c r="AE26" i="7" s="1"/>
  <c r="AF26" i="7" s="1"/>
  <c r="AG26" i="7" s="1"/>
  <c r="AC20" i="7"/>
  <c r="AD20" i="7" s="1"/>
  <c r="AE20" i="7" s="1"/>
  <c r="M19" i="7"/>
  <c r="AC6" i="7"/>
  <c r="AC14" i="7"/>
  <c r="AC24" i="7"/>
  <c r="AC2" i="7"/>
  <c r="AD2" i="7" s="1"/>
  <c r="AE2" i="7" s="1"/>
  <c r="AC28" i="7"/>
  <c r="K13" i="7"/>
  <c r="O12" i="7"/>
  <c r="O16" i="7"/>
  <c r="O22" i="7"/>
  <c r="N27" i="7"/>
  <c r="O23" i="7"/>
  <c r="L6" i="7"/>
  <c r="AB7" i="7"/>
  <c r="AB15" i="7"/>
  <c r="AC15" i="7" s="1"/>
  <c r="J21" i="7"/>
  <c r="N24" i="7"/>
  <c r="J25" i="7"/>
  <c r="N28" i="7"/>
  <c r="O28" i="7" s="1"/>
  <c r="J10" i="7"/>
  <c r="O5" i="7"/>
  <c r="K6" i="7"/>
  <c r="O17" i="7"/>
  <c r="M24" i="7"/>
  <c r="AB3" i="7"/>
  <c r="AC3" i="7" s="1"/>
  <c r="AB18" i="7"/>
  <c r="AC18" i="7" s="1"/>
  <c r="O20" i="7"/>
  <c r="K21" i="7"/>
  <c r="K25" i="7"/>
  <c r="L24" i="7"/>
  <c r="J7" i="7"/>
  <c r="J15" i="7"/>
  <c r="L21" i="7"/>
  <c r="AB22" i="7"/>
  <c r="AC22" i="7" s="1"/>
  <c r="AD22" i="7" s="1"/>
  <c r="AE22" i="7" s="1"/>
  <c r="X33" i="7"/>
  <c r="AC33" i="7" s="1"/>
  <c r="L9" i="7"/>
  <c r="L10" i="7" s="1"/>
  <c r="O14" i="7"/>
  <c r="O2" i="7"/>
  <c r="AB4" i="7"/>
  <c r="AC4" i="7" s="1"/>
  <c r="AB12" i="7"/>
  <c r="AC12" i="7" s="1"/>
  <c r="AB16" i="7"/>
  <c r="N21" i="7"/>
  <c r="N25" i="7"/>
  <c r="O11" i="7"/>
  <c r="AC5" i="6"/>
  <c r="J4" i="6"/>
  <c r="AB24" i="6"/>
  <c r="AC24" i="6" s="1"/>
  <c r="N6" i="6"/>
  <c r="AC8" i="6"/>
  <c r="O3" i="6"/>
  <c r="K4" i="6"/>
  <c r="AC20" i="6"/>
  <c r="J19" i="6"/>
  <c r="O19" i="6" s="1"/>
  <c r="K19" i="6"/>
  <c r="AA13" i="6"/>
  <c r="AC13" i="6" s="1"/>
  <c r="L19" i="6"/>
  <c r="AB13" i="6"/>
  <c r="M19" i="6"/>
  <c r="O26" i="6"/>
  <c r="O5" i="6"/>
  <c r="O16" i="6"/>
  <c r="AA7" i="6"/>
  <c r="AC17" i="6"/>
  <c r="AB9" i="6"/>
  <c r="AC9" i="6" s="1"/>
  <c r="AA19" i="6"/>
  <c r="M22" i="6"/>
  <c r="AC28" i="6"/>
  <c r="AA10" i="6"/>
  <c r="AC10" i="6" s="1"/>
  <c r="M4" i="6"/>
  <c r="O4" i="6" s="1"/>
  <c r="AA16" i="6"/>
  <c r="AC16" i="6" s="1"/>
  <c r="M13" i="6"/>
  <c r="AA4" i="6"/>
  <c r="M7" i="6"/>
  <c r="AA25" i="6"/>
  <c r="J25" i="6"/>
  <c r="J24" i="6"/>
  <c r="O23" i="6"/>
  <c r="AC21" i="6"/>
  <c r="L9" i="6"/>
  <c r="L10" i="6" s="1"/>
  <c r="O10" i="6" s="1"/>
  <c r="O8" i="6"/>
  <c r="L21" i="6"/>
  <c r="AB22" i="6"/>
  <c r="AC22" i="6" s="1"/>
  <c r="L25" i="6"/>
  <c r="M25" i="6"/>
  <c r="AB16" i="6"/>
  <c r="N21" i="6"/>
  <c r="J22" i="6"/>
  <c r="N25" i="6"/>
  <c r="J7" i="6"/>
  <c r="K7" i="6"/>
  <c r="J18" i="6"/>
  <c r="O2" i="6"/>
  <c r="AB4" i="6"/>
  <c r="L7" i="6"/>
  <c r="AB12" i="6"/>
  <c r="AC12" i="6" s="1"/>
  <c r="K22" i="6"/>
  <c r="N7" i="6"/>
  <c r="J12" i="6"/>
  <c r="N15" i="6"/>
  <c r="O15" i="6" s="1"/>
  <c r="AB19" i="6"/>
  <c r="AC19" i="6" s="1"/>
  <c r="AB27" i="6"/>
  <c r="AC27" i="6" s="1"/>
  <c r="AB33" i="6"/>
  <c r="AC33" i="6" s="1"/>
  <c r="N18" i="6"/>
  <c r="B19" i="6"/>
  <c r="Q55" i="6" s="1"/>
  <c r="N33" i="6"/>
  <c r="O33" i="6" s="1"/>
  <c r="K24" i="6"/>
  <c r="J6" i="6"/>
  <c r="N13" i="6"/>
  <c r="M28" i="6"/>
  <c r="AB10" i="6"/>
  <c r="N19" i="6"/>
  <c r="N9" i="6"/>
  <c r="AB25" i="6"/>
  <c r="AB7" i="6"/>
  <c r="AC7" i="6" s="1"/>
  <c r="AB15" i="6"/>
  <c r="AC15" i="6" s="1"/>
  <c r="J21" i="6"/>
  <c r="N24" i="6"/>
  <c r="N28" i="6"/>
  <c r="AB6" i="6"/>
  <c r="AC6" i="6" s="1"/>
  <c r="N27" i="6"/>
  <c r="O27" i="6" s="1"/>
  <c r="AB21" i="6"/>
  <c r="AB3" i="6"/>
  <c r="AC3" i="6" s="1"/>
  <c r="AC33" i="5"/>
  <c r="O15" i="7" l="1"/>
  <c r="P15" i="7" s="1"/>
  <c r="Q15" i="7" s="1"/>
  <c r="R15" i="7" s="1"/>
  <c r="S15" i="7" s="1"/>
  <c r="O7" i="7"/>
  <c r="P7" i="7" s="1"/>
  <c r="Q7" i="7" s="1"/>
  <c r="R7" i="7" s="1"/>
  <c r="S7" i="7" s="1"/>
  <c r="AC7" i="7"/>
  <c r="AD7" i="7" s="1"/>
  <c r="AE7" i="7" s="1"/>
  <c r="AF7" i="7" s="1"/>
  <c r="AG7" i="7" s="1"/>
  <c r="P11" i="7"/>
  <c r="Q11" i="7" s="1"/>
  <c r="R11" i="7" s="1"/>
  <c r="S11" i="7" s="1"/>
  <c r="P23" i="7"/>
  <c r="Q23" i="7" s="1"/>
  <c r="R23" i="7" s="1"/>
  <c r="S23" i="7" s="1"/>
  <c r="P20" i="7"/>
  <c r="Q20" i="7" s="1"/>
  <c r="R20" i="7" s="1"/>
  <c r="S20" i="7" s="1"/>
  <c r="AD28" i="7"/>
  <c r="AE28" i="7" s="1"/>
  <c r="AF28" i="7" s="1"/>
  <c r="AG28" i="7" s="1"/>
  <c r="AD17" i="7"/>
  <c r="AE17" i="7" s="1"/>
  <c r="AF17" i="7" s="1"/>
  <c r="AG17" i="7" s="1"/>
  <c r="AD10" i="7"/>
  <c r="AE10" i="7" s="1"/>
  <c r="AF10" i="7" s="1"/>
  <c r="AG10" i="7" s="1"/>
  <c r="AD24" i="7"/>
  <c r="AE24" i="7" s="1"/>
  <c r="AF24" i="7" s="1"/>
  <c r="AG24" i="7" s="1"/>
  <c r="AD21" i="7"/>
  <c r="AE21" i="7" s="1"/>
  <c r="AF21" i="7" s="1"/>
  <c r="AG21" i="7" s="1"/>
  <c r="AD14" i="7"/>
  <c r="AE14" i="7" s="1"/>
  <c r="AF14" i="7" s="1"/>
  <c r="AG14" i="7" s="1"/>
  <c r="AD6" i="7"/>
  <c r="AE6" i="7" s="1"/>
  <c r="AF6" i="7" s="1"/>
  <c r="AG6" i="7" s="1"/>
  <c r="AD23" i="7"/>
  <c r="AE23" i="7" s="1"/>
  <c r="AF23" i="7" s="1"/>
  <c r="AG23" i="7" s="1"/>
  <c r="AD15" i="7"/>
  <c r="AE15" i="7" s="1"/>
  <c r="AF15" i="7" s="1"/>
  <c r="AG15" i="7" s="1"/>
  <c r="AD13" i="7"/>
  <c r="AE13" i="7" s="1"/>
  <c r="AF13" i="7" s="1"/>
  <c r="AG13" i="7" s="1"/>
  <c r="AD9" i="7"/>
  <c r="AE9" i="7" s="1"/>
  <c r="AF9" i="7" s="1"/>
  <c r="AG9" i="7" s="1"/>
  <c r="AD25" i="7"/>
  <c r="AE25" i="7" s="1"/>
  <c r="AF25" i="7" s="1"/>
  <c r="AG25" i="7" s="1"/>
  <c r="AD27" i="7"/>
  <c r="AE27" i="7" s="1"/>
  <c r="AF27" i="7" s="1"/>
  <c r="AG27" i="7" s="1"/>
  <c r="AD18" i="7"/>
  <c r="AE18" i="7" s="1"/>
  <c r="AF18" i="7" s="1"/>
  <c r="AG18" i="7" s="1"/>
  <c r="AD3" i="7"/>
  <c r="AE3" i="7" s="1"/>
  <c r="AF3" i="7" s="1"/>
  <c r="AG3" i="7" s="1"/>
  <c r="AD5" i="7"/>
  <c r="AE5" i="7" s="1"/>
  <c r="AF5" i="7" s="1"/>
  <c r="AG5" i="7" s="1"/>
  <c r="AD12" i="7"/>
  <c r="AE12" i="7" s="1"/>
  <c r="AF12" i="7" s="1"/>
  <c r="AG12" i="7" s="1"/>
  <c r="AD4" i="7"/>
  <c r="AE4" i="7" s="1"/>
  <c r="AF4" i="7" s="1"/>
  <c r="AG4" i="7" s="1"/>
  <c r="P17" i="7"/>
  <c r="Q17" i="7" s="1"/>
  <c r="R17" i="7" s="1"/>
  <c r="S17" i="7" s="1"/>
  <c r="P26" i="7"/>
  <c r="Q26" i="7" s="1"/>
  <c r="R26" i="7" s="1"/>
  <c r="S26" i="7" s="1"/>
  <c r="AD11" i="7"/>
  <c r="AE11" i="7" s="1"/>
  <c r="AF11" i="7" s="1"/>
  <c r="AG11" i="7" s="1"/>
  <c r="P2" i="7"/>
  <c r="Q2" i="7" s="1"/>
  <c r="AD19" i="7"/>
  <c r="AE19" i="7" s="1"/>
  <c r="AF19" i="7" s="1"/>
  <c r="AG19" i="7" s="1"/>
  <c r="AD8" i="7"/>
  <c r="AE8" i="7" s="1"/>
  <c r="AF8" i="7" s="1"/>
  <c r="AG8" i="7" s="1"/>
  <c r="O27" i="7"/>
  <c r="P27" i="7" s="1"/>
  <c r="Q27" i="7" s="1"/>
  <c r="R27" i="7" s="1"/>
  <c r="S27" i="7" s="1"/>
  <c r="P18" i="7"/>
  <c r="Q18" i="7" s="1"/>
  <c r="R18" i="7" s="1"/>
  <c r="S18" i="7" s="1"/>
  <c r="P16" i="7"/>
  <c r="Q16" i="7" s="1"/>
  <c r="R16" i="7" s="1"/>
  <c r="S16" i="7" s="1"/>
  <c r="P4" i="7"/>
  <c r="Q4" i="7" s="1"/>
  <c r="R4" i="7" s="1"/>
  <c r="S4" i="7" s="1"/>
  <c r="AC16" i="7"/>
  <c r="P12" i="7"/>
  <c r="Q12" i="7" s="1"/>
  <c r="R12" i="7" s="1"/>
  <c r="S12" i="7" s="1"/>
  <c r="AF22" i="7"/>
  <c r="AG22" i="7" s="1"/>
  <c r="AD33" i="7"/>
  <c r="AE33" i="7" s="1"/>
  <c r="AF33" i="7" s="1"/>
  <c r="AG33" i="7" s="1"/>
  <c r="L40" i="7" s="1"/>
  <c r="P28" i="7"/>
  <c r="Q28" i="7" s="1"/>
  <c r="R28" i="7" s="1"/>
  <c r="S28" i="7" s="1"/>
  <c r="AF20" i="7"/>
  <c r="AG20" i="7" s="1"/>
  <c r="P33" i="7"/>
  <c r="Q33" i="7" s="1"/>
  <c r="R33" i="7" s="1"/>
  <c r="S33" i="7" s="1"/>
  <c r="O21" i="7"/>
  <c r="P21" i="7" s="1"/>
  <c r="Q21" i="7" s="1"/>
  <c r="R21" i="7" s="1"/>
  <c r="S21" i="7" s="1"/>
  <c r="O24" i="7"/>
  <c r="P24" i="7" s="1"/>
  <c r="Q24" i="7" s="1"/>
  <c r="R24" i="7" s="1"/>
  <c r="S24" i="7" s="1"/>
  <c r="O9" i="7"/>
  <c r="P9" i="7" s="1"/>
  <c r="Q9" i="7" s="1"/>
  <c r="R9" i="7" s="1"/>
  <c r="S9" i="7" s="1"/>
  <c r="O13" i="7"/>
  <c r="P13" i="7" s="1"/>
  <c r="Q13" i="7" s="1"/>
  <c r="R13" i="7" s="1"/>
  <c r="S13" i="7" s="1"/>
  <c r="O6" i="7"/>
  <c r="P6" i="7" s="1"/>
  <c r="Q6" i="7" s="1"/>
  <c r="R6" i="7" s="1"/>
  <c r="S6" i="7" s="1"/>
  <c r="P14" i="7"/>
  <c r="Q14" i="7" s="1"/>
  <c r="R14" i="7" s="1"/>
  <c r="S14" i="7" s="1"/>
  <c r="P5" i="7"/>
  <c r="Q5" i="7" s="1"/>
  <c r="R5" i="7" s="1"/>
  <c r="S5" i="7" s="1"/>
  <c r="P22" i="7"/>
  <c r="Q22" i="7" s="1"/>
  <c r="R22" i="7" s="1"/>
  <c r="S22" i="7" s="1"/>
  <c r="O19" i="7"/>
  <c r="P19" i="7" s="1"/>
  <c r="Q19" i="7" s="1"/>
  <c r="R19" i="7" s="1"/>
  <c r="S19" i="7" s="1"/>
  <c r="O10" i="7"/>
  <c r="P10" i="7" s="1"/>
  <c r="Q10" i="7" s="1"/>
  <c r="R10" i="7" s="1"/>
  <c r="S10" i="7" s="1"/>
  <c r="O25" i="7"/>
  <c r="P25" i="7" s="1"/>
  <c r="Q25" i="7" s="1"/>
  <c r="R25" i="7" s="1"/>
  <c r="S25" i="7" s="1"/>
  <c r="S55" i="6"/>
  <c r="O21" i="6"/>
  <c r="O28" i="6"/>
  <c r="O6" i="6"/>
  <c r="O18" i="6"/>
  <c r="AD9" i="6"/>
  <c r="AF9" i="6" s="1"/>
  <c r="AG9" i="6" s="1"/>
  <c r="AC4" i="6"/>
  <c r="AC25" i="6"/>
  <c r="AD25" i="6" s="1"/>
  <c r="AF25" i="6" s="1"/>
  <c r="AG25" i="6" s="1"/>
  <c r="P26" i="6"/>
  <c r="Q26" i="6" s="1"/>
  <c r="R26" i="6" s="1"/>
  <c r="S26" i="6" s="1"/>
  <c r="AD2" i="6"/>
  <c r="P21" i="6"/>
  <c r="Q21" i="6" s="1"/>
  <c r="R21" i="6" s="1"/>
  <c r="S21" i="6" s="1"/>
  <c r="AD21" i="6"/>
  <c r="AF21" i="6" s="1"/>
  <c r="AG21" i="6" s="1"/>
  <c r="AD15" i="6"/>
  <c r="AF15" i="6" s="1"/>
  <c r="AG15" i="6" s="1"/>
  <c r="P14" i="6"/>
  <c r="Q14" i="6" s="1"/>
  <c r="R14" i="6" s="1"/>
  <c r="S14" i="6" s="1"/>
  <c r="AD7" i="6"/>
  <c r="AF7" i="6" s="1"/>
  <c r="AG7" i="6" s="1"/>
  <c r="P19" i="6"/>
  <c r="Q19" i="6" s="1"/>
  <c r="R19" i="6" s="1"/>
  <c r="S19" i="6" s="1"/>
  <c r="P5" i="6"/>
  <c r="Q5" i="6" s="1"/>
  <c r="R5" i="6" s="1"/>
  <c r="S5" i="6" s="1"/>
  <c r="AD26" i="6"/>
  <c r="AF26" i="6" s="1"/>
  <c r="AG26" i="6" s="1"/>
  <c r="AD12" i="6"/>
  <c r="AF12" i="6" s="1"/>
  <c r="AG12" i="6" s="1"/>
  <c r="AD17" i="6"/>
  <c r="AF17" i="6" s="1"/>
  <c r="AG17" i="6" s="1"/>
  <c r="P23" i="6"/>
  <c r="Q23" i="6" s="1"/>
  <c r="R23" i="6" s="1"/>
  <c r="S23" i="6" s="1"/>
  <c r="AD14" i="6"/>
  <c r="AF14" i="6" s="1"/>
  <c r="AG14" i="6" s="1"/>
  <c r="P28" i="6"/>
  <c r="Q28" i="6" s="1"/>
  <c r="R28" i="6" s="1"/>
  <c r="S28" i="6" s="1"/>
  <c r="AD4" i="6"/>
  <c r="AF4" i="6" s="1"/>
  <c r="AG4" i="6" s="1"/>
  <c r="AD8" i="6"/>
  <c r="AF8" i="6" s="1"/>
  <c r="AG8" i="6" s="1"/>
  <c r="P2" i="6"/>
  <c r="Q2" i="6" s="1"/>
  <c r="AD20" i="6"/>
  <c r="AF20" i="6" s="1"/>
  <c r="AG20" i="6" s="1"/>
  <c r="AD28" i="6"/>
  <c r="AF28" i="6" s="1"/>
  <c r="AG28" i="6" s="1"/>
  <c r="P6" i="6"/>
  <c r="Q6" i="6" s="1"/>
  <c r="R6" i="6" s="1"/>
  <c r="S6" i="6" s="1"/>
  <c r="P18" i="6"/>
  <c r="Q18" i="6" s="1"/>
  <c r="R18" i="6" s="1"/>
  <c r="S18" i="6" s="1"/>
  <c r="AD13" i="6"/>
  <c r="AF13" i="6" s="1"/>
  <c r="AG13" i="6" s="1"/>
  <c r="P4" i="6"/>
  <c r="Q4" i="6" s="1"/>
  <c r="R4" i="6" s="1"/>
  <c r="S4" i="6" s="1"/>
  <c r="AD3" i="6"/>
  <c r="AF3" i="6" s="1"/>
  <c r="AG3" i="6" s="1"/>
  <c r="P8" i="6"/>
  <c r="Q8" i="6" s="1"/>
  <c r="R8" i="6" s="1"/>
  <c r="S8" i="6" s="1"/>
  <c r="AD24" i="6"/>
  <c r="AF24" i="6" s="1"/>
  <c r="AG24" i="6" s="1"/>
  <c r="P27" i="6"/>
  <c r="Q27" i="6" s="1"/>
  <c r="R27" i="6" s="1"/>
  <c r="S27" i="6" s="1"/>
  <c r="AD19" i="6"/>
  <c r="AF19" i="6" s="1"/>
  <c r="AG19" i="6" s="1"/>
  <c r="P15" i="6"/>
  <c r="Q15" i="6" s="1"/>
  <c r="R15" i="6" s="1"/>
  <c r="S15" i="6" s="1"/>
  <c r="AD22" i="6"/>
  <c r="AF22" i="6" s="1"/>
  <c r="AG22" i="6" s="1"/>
  <c r="AD10" i="6"/>
  <c r="AF10" i="6" s="1"/>
  <c r="AG10" i="6" s="1"/>
  <c r="P33" i="6"/>
  <c r="Q33" i="6" s="1"/>
  <c r="R33" i="6" s="1"/>
  <c r="S33" i="6" s="1"/>
  <c r="P10" i="6"/>
  <c r="Q10" i="6" s="1"/>
  <c r="R10" i="6" s="1"/>
  <c r="S10" i="6" s="1"/>
  <c r="AD11" i="6"/>
  <c r="AF11" i="6" s="1"/>
  <c r="AG11" i="6" s="1"/>
  <c r="P20" i="6"/>
  <c r="Q20" i="6" s="1"/>
  <c r="R20" i="6" s="1"/>
  <c r="S20" i="6" s="1"/>
  <c r="AD6" i="6"/>
  <c r="AF6" i="6" s="1"/>
  <c r="AG6" i="6" s="1"/>
  <c r="P17" i="6"/>
  <c r="Q17" i="6" s="1"/>
  <c r="R17" i="6" s="1"/>
  <c r="S17" i="6" s="1"/>
  <c r="AD33" i="6"/>
  <c r="AE33" i="6" s="1"/>
  <c r="AF33" i="6" s="1"/>
  <c r="AG33" i="6" s="1"/>
  <c r="L40" i="6" s="1"/>
  <c r="AD18" i="6"/>
  <c r="AF18" i="6" s="1"/>
  <c r="AG18" i="6" s="1"/>
  <c r="P3" i="6"/>
  <c r="Q3" i="6" s="1"/>
  <c r="R3" i="6" s="1"/>
  <c r="S3" i="6" s="1"/>
  <c r="AD27" i="6"/>
  <c r="AF27" i="6" s="1"/>
  <c r="AG27" i="6" s="1"/>
  <c r="AD16" i="6"/>
  <c r="AF16" i="6" s="1"/>
  <c r="AG16" i="6" s="1"/>
  <c r="O12" i="6"/>
  <c r="P12" i="6" s="1"/>
  <c r="Q12" i="6" s="1"/>
  <c r="R12" i="6" s="1"/>
  <c r="S12" i="6" s="1"/>
  <c r="J13" i="6"/>
  <c r="O13" i="6" s="1"/>
  <c r="P13" i="6" s="1"/>
  <c r="Q13" i="6" s="1"/>
  <c r="R13" i="6" s="1"/>
  <c r="S13" i="6" s="1"/>
  <c r="O24" i="6"/>
  <c r="P24" i="6" s="1"/>
  <c r="Q24" i="6" s="1"/>
  <c r="R24" i="6" s="1"/>
  <c r="S24" i="6" s="1"/>
  <c r="O25" i="6"/>
  <c r="P25" i="6" s="1"/>
  <c r="Q25" i="6" s="1"/>
  <c r="R25" i="6" s="1"/>
  <c r="S25" i="6" s="1"/>
  <c r="O9" i="6"/>
  <c r="P9" i="6" s="1"/>
  <c r="Q9" i="6" s="1"/>
  <c r="R9" i="6" s="1"/>
  <c r="S9" i="6" s="1"/>
  <c r="O7" i="6"/>
  <c r="P7" i="6" s="1"/>
  <c r="Q7" i="6" s="1"/>
  <c r="R7" i="6" s="1"/>
  <c r="S7" i="6" s="1"/>
  <c r="AD23" i="6"/>
  <c r="AF23" i="6" s="1"/>
  <c r="AG23" i="6" s="1"/>
  <c r="P11" i="6"/>
  <c r="Q11" i="6" s="1"/>
  <c r="R11" i="6" s="1"/>
  <c r="S11" i="6" s="1"/>
  <c r="O22" i="6"/>
  <c r="P22" i="6" s="1"/>
  <c r="Q22" i="6" s="1"/>
  <c r="R22" i="6" s="1"/>
  <c r="S22" i="6" s="1"/>
  <c r="P16" i="6"/>
  <c r="Q16" i="6" s="1"/>
  <c r="R16" i="6" s="1"/>
  <c r="S16" i="6" s="1"/>
  <c r="AD5" i="6"/>
  <c r="AF5" i="6" s="1"/>
  <c r="AG5" i="6" s="1"/>
  <c r="M33" i="5"/>
  <c r="L33" i="5"/>
  <c r="K33" i="5"/>
  <c r="AA27" i="5"/>
  <c r="AB26" i="5"/>
  <c r="AA26" i="5"/>
  <c r="AA24" i="5"/>
  <c r="AB23" i="5"/>
  <c r="AA23" i="5"/>
  <c r="AA21" i="5"/>
  <c r="AB20" i="5"/>
  <c r="AA20" i="5"/>
  <c r="AA18" i="5"/>
  <c r="AB17" i="5"/>
  <c r="AA17" i="5"/>
  <c r="AA15" i="5"/>
  <c r="AB14" i="5"/>
  <c r="AA14" i="5"/>
  <c r="AB11" i="5"/>
  <c r="AA11" i="5"/>
  <c r="AA9" i="5"/>
  <c r="AB8" i="5"/>
  <c r="AA8" i="5"/>
  <c r="AA6" i="5"/>
  <c r="AB5" i="5"/>
  <c r="AA5" i="5"/>
  <c r="AF16" i="7" l="1"/>
  <c r="AG16" i="7" s="1"/>
  <c r="AD16" i="7"/>
  <c r="AE16" i="7" s="1"/>
  <c r="AD29" i="7"/>
  <c r="AE29" i="7"/>
  <c r="AF2" i="7"/>
  <c r="P29" i="7"/>
  <c r="R2" i="7"/>
  <c r="Q29" i="7"/>
  <c r="AD29" i="6"/>
  <c r="AF2" i="6"/>
  <c r="AE29" i="6"/>
  <c r="Q29" i="6"/>
  <c r="R2" i="6"/>
  <c r="P29" i="6"/>
  <c r="AB2" i="5"/>
  <c r="AA3" i="5"/>
  <c r="AA2" i="5"/>
  <c r="Y27" i="5"/>
  <c r="Y28" i="5"/>
  <c r="Y26" i="5"/>
  <c r="Y24" i="5"/>
  <c r="Y25" i="5"/>
  <c r="Y23" i="5"/>
  <c r="Y21" i="5"/>
  <c r="Y22" i="5"/>
  <c r="Y20" i="5"/>
  <c r="Y18" i="5"/>
  <c r="Y19" i="5"/>
  <c r="Y17" i="5"/>
  <c r="Y15" i="5"/>
  <c r="Y16" i="5"/>
  <c r="Y14" i="5"/>
  <c r="Y12" i="5"/>
  <c r="Y13" i="5"/>
  <c r="Y11" i="5"/>
  <c r="Y9" i="5"/>
  <c r="Y10" i="5"/>
  <c r="Y8" i="5"/>
  <c r="Y6" i="5"/>
  <c r="Y7" i="5"/>
  <c r="Y5" i="5"/>
  <c r="Y3" i="5"/>
  <c r="Y4" i="5"/>
  <c r="Y2" i="5"/>
  <c r="X27" i="5"/>
  <c r="X28" i="5"/>
  <c r="X26" i="5"/>
  <c r="X24" i="5"/>
  <c r="X25" i="5"/>
  <c r="X23" i="5"/>
  <c r="X21" i="5"/>
  <c r="X22" i="5"/>
  <c r="X20" i="5"/>
  <c r="X18" i="5"/>
  <c r="X19" i="5"/>
  <c r="X17" i="5"/>
  <c r="X15" i="5"/>
  <c r="X16" i="5"/>
  <c r="X14" i="5"/>
  <c r="AC14" i="5" s="1"/>
  <c r="X12" i="5"/>
  <c r="X13" i="5"/>
  <c r="X11" i="5"/>
  <c r="X9" i="5"/>
  <c r="X10" i="5"/>
  <c r="X8" i="5"/>
  <c r="X6" i="5"/>
  <c r="X7" i="5"/>
  <c r="X5" i="5"/>
  <c r="AC5" i="5" s="1"/>
  <c r="X3" i="5"/>
  <c r="X4" i="5"/>
  <c r="X2" i="5"/>
  <c r="Z28" i="5"/>
  <c r="Z27" i="5"/>
  <c r="Z26" i="5"/>
  <c r="Z25" i="5"/>
  <c r="Z24" i="5"/>
  <c r="Z23" i="5"/>
  <c r="Z22" i="5"/>
  <c r="Z21" i="5"/>
  <c r="Z20" i="5"/>
  <c r="Z19" i="5"/>
  <c r="Z18" i="5"/>
  <c r="Z17" i="5"/>
  <c r="Z16" i="5"/>
  <c r="Z15" i="5"/>
  <c r="Z14" i="5"/>
  <c r="Z13" i="5"/>
  <c r="Z12" i="5"/>
  <c r="AA12" i="5"/>
  <c r="Z11" i="5"/>
  <c r="Z10" i="5"/>
  <c r="Z9" i="5"/>
  <c r="Z8" i="5"/>
  <c r="Z7" i="5"/>
  <c r="Z6" i="5"/>
  <c r="Z5" i="5"/>
  <c r="Z4" i="5"/>
  <c r="Z3" i="5"/>
  <c r="Z2" i="5"/>
  <c r="N26" i="5"/>
  <c r="M26" i="5"/>
  <c r="M27" i="5" s="1"/>
  <c r="L26" i="5"/>
  <c r="L27" i="5" s="1"/>
  <c r="K26" i="5"/>
  <c r="K27" i="5" s="1"/>
  <c r="J26" i="5"/>
  <c r="J27" i="5" s="1"/>
  <c r="N23" i="5"/>
  <c r="M23" i="5"/>
  <c r="M24" i="5" s="1"/>
  <c r="L23" i="5"/>
  <c r="L24" i="5" s="1"/>
  <c r="K23" i="5"/>
  <c r="K24" i="5" s="1"/>
  <c r="J23" i="5"/>
  <c r="J24" i="5" s="1"/>
  <c r="L21" i="5"/>
  <c r="N20" i="5"/>
  <c r="M20" i="5"/>
  <c r="M21" i="5" s="1"/>
  <c r="L20" i="5"/>
  <c r="L22" i="5" s="1"/>
  <c r="K20" i="5"/>
  <c r="K21" i="5" s="1"/>
  <c r="J20" i="5"/>
  <c r="J22" i="5" s="1"/>
  <c r="F18" i="5"/>
  <c r="E18" i="5"/>
  <c r="AA4" i="5" s="1"/>
  <c r="D18" i="5"/>
  <c r="C18" i="5"/>
  <c r="B18" i="5"/>
  <c r="J33" i="5" s="1"/>
  <c r="N17" i="5"/>
  <c r="N18" i="5" s="1"/>
  <c r="M17" i="5"/>
  <c r="M18" i="5" s="1"/>
  <c r="L17" i="5"/>
  <c r="L19" i="5" s="1"/>
  <c r="K17" i="5"/>
  <c r="K19" i="5" s="1"/>
  <c r="J17" i="5"/>
  <c r="J18" i="5" s="1"/>
  <c r="N14" i="5"/>
  <c r="M14" i="5"/>
  <c r="M15" i="5" s="1"/>
  <c r="L14" i="5"/>
  <c r="L15" i="5" s="1"/>
  <c r="K14" i="5"/>
  <c r="K15" i="5" s="1"/>
  <c r="J14" i="5"/>
  <c r="J15" i="5" s="1"/>
  <c r="N13" i="5"/>
  <c r="N11" i="5"/>
  <c r="N12" i="5" s="1"/>
  <c r="M11" i="5"/>
  <c r="M12" i="5" s="1"/>
  <c r="L11" i="5"/>
  <c r="L12" i="5" s="1"/>
  <c r="L13" i="5" s="1"/>
  <c r="K11" i="5"/>
  <c r="K12" i="5" s="1"/>
  <c r="K13" i="5" s="1"/>
  <c r="J11" i="5"/>
  <c r="N10" i="5"/>
  <c r="N9" i="5"/>
  <c r="M9" i="5"/>
  <c r="M10" i="5" s="1"/>
  <c r="N8" i="5"/>
  <c r="M8" i="5"/>
  <c r="L8" i="5"/>
  <c r="L9" i="5" s="1"/>
  <c r="L10" i="5" s="1"/>
  <c r="K8" i="5"/>
  <c r="K9" i="5" s="1"/>
  <c r="K10" i="5" s="1"/>
  <c r="J8" i="5"/>
  <c r="N5" i="5"/>
  <c r="N6" i="5" s="1"/>
  <c r="M5" i="5"/>
  <c r="M6" i="5" s="1"/>
  <c r="L5" i="5"/>
  <c r="L7" i="5" s="1"/>
  <c r="K5" i="5"/>
  <c r="K7" i="5" s="1"/>
  <c r="J5" i="5"/>
  <c r="J7" i="5" s="1"/>
  <c r="N2" i="5"/>
  <c r="N3" i="5" s="1"/>
  <c r="M2" i="5"/>
  <c r="M3" i="5" s="1"/>
  <c r="L2" i="5"/>
  <c r="L3" i="5" s="1"/>
  <c r="K2" i="5"/>
  <c r="K3" i="5" s="1"/>
  <c r="J2" i="5"/>
  <c r="J4" i="5" s="1"/>
  <c r="Q29" i="3"/>
  <c r="D40" i="3"/>
  <c r="D39" i="3"/>
  <c r="D38" i="3"/>
  <c r="C39" i="3"/>
  <c r="C38" i="3"/>
  <c r="J11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J2" i="4"/>
  <c r="J3" i="4" s="1"/>
  <c r="J15" i="4"/>
  <c r="J16" i="4"/>
  <c r="J14" i="4"/>
  <c r="J9" i="4"/>
  <c r="J10" i="4"/>
  <c r="J8" i="4"/>
  <c r="I15" i="4"/>
  <c r="I16" i="4"/>
  <c r="I14" i="4"/>
  <c r="I11" i="4"/>
  <c r="I9" i="4"/>
  <c r="I10" i="4"/>
  <c r="I8" i="4"/>
  <c r="K2" i="4"/>
  <c r="M26" i="4"/>
  <c r="L26" i="4"/>
  <c r="L27" i="4" s="1"/>
  <c r="J26" i="4"/>
  <c r="J27" i="4" s="1"/>
  <c r="I26" i="4"/>
  <c r="I27" i="4" s="1"/>
  <c r="M23" i="4"/>
  <c r="L23" i="4"/>
  <c r="J23" i="4"/>
  <c r="J24" i="4" s="1"/>
  <c r="I23" i="4"/>
  <c r="I24" i="4" s="1"/>
  <c r="M20" i="4"/>
  <c r="L20" i="4"/>
  <c r="L21" i="4" s="1"/>
  <c r="J20" i="4"/>
  <c r="J22" i="4" s="1"/>
  <c r="I20" i="4"/>
  <c r="I22" i="4" s="1"/>
  <c r="F18" i="4"/>
  <c r="M25" i="4" s="1"/>
  <c r="E18" i="4"/>
  <c r="D18" i="4"/>
  <c r="C18" i="4"/>
  <c r="B18" i="4"/>
  <c r="M17" i="4"/>
  <c r="L17" i="4"/>
  <c r="L18" i="4" s="1"/>
  <c r="J17" i="4"/>
  <c r="J19" i="4" s="1"/>
  <c r="I17" i="4"/>
  <c r="I19" i="4" s="1"/>
  <c r="M14" i="4"/>
  <c r="L14" i="4"/>
  <c r="M11" i="4"/>
  <c r="L11" i="4"/>
  <c r="J12" i="4"/>
  <c r="J13" i="4" s="1"/>
  <c r="M10" i="4"/>
  <c r="M9" i="4"/>
  <c r="M8" i="4"/>
  <c r="L8" i="4"/>
  <c r="L9" i="4" s="1"/>
  <c r="M5" i="4"/>
  <c r="L5" i="4"/>
  <c r="L6" i="4" s="1"/>
  <c r="J5" i="4"/>
  <c r="I5" i="4"/>
  <c r="M2" i="4"/>
  <c r="L2" i="4"/>
  <c r="L3" i="4" s="1"/>
  <c r="I2" i="4"/>
  <c r="I3" i="4" s="1"/>
  <c r="B40" i="3"/>
  <c r="J28" i="3"/>
  <c r="K27" i="3"/>
  <c r="N26" i="3"/>
  <c r="M26" i="3"/>
  <c r="M27" i="3" s="1"/>
  <c r="L26" i="3"/>
  <c r="L27" i="3" s="1"/>
  <c r="K26" i="3"/>
  <c r="K28" i="3" s="1"/>
  <c r="J26" i="3"/>
  <c r="O26" i="3" s="1"/>
  <c r="M25" i="3"/>
  <c r="N23" i="3"/>
  <c r="M23" i="3"/>
  <c r="M24" i="3" s="1"/>
  <c r="L23" i="3"/>
  <c r="L24" i="3" s="1"/>
  <c r="K23" i="3"/>
  <c r="K24" i="3" s="1"/>
  <c r="J23" i="3"/>
  <c r="J24" i="3" s="1"/>
  <c r="M22" i="3"/>
  <c r="K22" i="3"/>
  <c r="N21" i="3"/>
  <c r="N20" i="3"/>
  <c r="M20" i="3"/>
  <c r="M21" i="3" s="1"/>
  <c r="L20" i="3"/>
  <c r="L22" i="3" s="1"/>
  <c r="K20" i="3"/>
  <c r="K21" i="3" s="1"/>
  <c r="J20" i="3"/>
  <c r="J21" i="3" s="1"/>
  <c r="K19" i="3"/>
  <c r="M18" i="3"/>
  <c r="K18" i="3"/>
  <c r="F18" i="3"/>
  <c r="E18" i="3"/>
  <c r="D18" i="3"/>
  <c r="B19" i="3" s="1"/>
  <c r="C18" i="3"/>
  <c r="B18" i="3"/>
  <c r="N17" i="3"/>
  <c r="M17" i="3"/>
  <c r="L17" i="3"/>
  <c r="L18" i="3" s="1"/>
  <c r="K17" i="3"/>
  <c r="J17" i="3"/>
  <c r="O17" i="3" s="1"/>
  <c r="M16" i="3"/>
  <c r="N15" i="3"/>
  <c r="N14" i="3"/>
  <c r="M14" i="3"/>
  <c r="M15" i="3" s="1"/>
  <c r="L14" i="3"/>
  <c r="L15" i="3" s="1"/>
  <c r="K14" i="3"/>
  <c r="K15" i="3" s="1"/>
  <c r="J14" i="3"/>
  <c r="J15" i="3" s="1"/>
  <c r="O15" i="3" s="1"/>
  <c r="M13" i="3"/>
  <c r="N12" i="3"/>
  <c r="L12" i="3"/>
  <c r="L13" i="3" s="1"/>
  <c r="N11" i="3"/>
  <c r="M11" i="3"/>
  <c r="M12" i="3" s="1"/>
  <c r="L11" i="3"/>
  <c r="K11" i="3"/>
  <c r="K12" i="3" s="1"/>
  <c r="K13" i="3" s="1"/>
  <c r="J11" i="3"/>
  <c r="J12" i="3" s="1"/>
  <c r="N10" i="3"/>
  <c r="N9" i="3"/>
  <c r="J9" i="3"/>
  <c r="N8" i="3"/>
  <c r="M8" i="3"/>
  <c r="M9" i="3" s="1"/>
  <c r="M10" i="3" s="1"/>
  <c r="L8" i="3"/>
  <c r="L9" i="3" s="1"/>
  <c r="L10" i="3" s="1"/>
  <c r="K8" i="3"/>
  <c r="K9" i="3" s="1"/>
  <c r="K10" i="3" s="1"/>
  <c r="J8" i="3"/>
  <c r="N7" i="3"/>
  <c r="M7" i="3"/>
  <c r="L7" i="3"/>
  <c r="J7" i="3"/>
  <c r="J6" i="3"/>
  <c r="N5" i="3"/>
  <c r="M5" i="3"/>
  <c r="M6" i="3" s="1"/>
  <c r="L5" i="3"/>
  <c r="L6" i="3" s="1"/>
  <c r="K5" i="3"/>
  <c r="K6" i="3" s="1"/>
  <c r="J5" i="3"/>
  <c r="M4" i="3"/>
  <c r="K4" i="3"/>
  <c r="N3" i="3"/>
  <c r="K3" i="3"/>
  <c r="N2" i="3"/>
  <c r="M2" i="3"/>
  <c r="M3" i="3" s="1"/>
  <c r="L2" i="3"/>
  <c r="L4" i="3" s="1"/>
  <c r="K2" i="3"/>
  <c r="J2" i="3"/>
  <c r="J3" i="3" s="1"/>
  <c r="M7" i="2"/>
  <c r="J7" i="2"/>
  <c r="S2" i="2"/>
  <c r="S3" i="2"/>
  <c r="S4" i="2"/>
  <c r="S5" i="2"/>
  <c r="S6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L34" i="2"/>
  <c r="L35" i="2"/>
  <c r="L36" i="2"/>
  <c r="L37" i="2"/>
  <c r="L38" i="2"/>
  <c r="L39" i="2"/>
  <c r="L40" i="2"/>
  <c r="K40" i="2"/>
  <c r="K39" i="2"/>
  <c r="K38" i="2"/>
  <c r="K37" i="2"/>
  <c r="K36" i="2"/>
  <c r="J40" i="2"/>
  <c r="J39" i="2"/>
  <c r="J38" i="2"/>
  <c r="J37" i="2"/>
  <c r="J36" i="2"/>
  <c r="K35" i="2"/>
  <c r="J35" i="2"/>
  <c r="K34" i="2"/>
  <c r="J34" i="2"/>
  <c r="L33" i="2"/>
  <c r="K33" i="2"/>
  <c r="J33" i="2"/>
  <c r="L32" i="2"/>
  <c r="K32" i="2"/>
  <c r="R29" i="7" l="1"/>
  <c r="S2" i="7"/>
  <c r="S29" i="7" s="1"/>
  <c r="S36" i="7" s="1"/>
  <c r="AF29" i="7"/>
  <c r="AG2" i="7"/>
  <c r="AG29" i="7" s="1"/>
  <c r="K48" i="6"/>
  <c r="M48" i="6" s="1"/>
  <c r="W56" i="6"/>
  <c r="X56" i="6" s="1"/>
  <c r="X59" i="6" s="1"/>
  <c r="AE60" i="6"/>
  <c r="AF61" i="6" s="1"/>
  <c r="R29" i="6"/>
  <c r="S2" i="6"/>
  <c r="S29" i="6" s="1"/>
  <c r="S36" i="6" s="1"/>
  <c r="AF29" i="6"/>
  <c r="AG2" i="6"/>
  <c r="AG29" i="6" s="1"/>
  <c r="O11" i="5"/>
  <c r="AC17" i="5"/>
  <c r="N7" i="5"/>
  <c r="N33" i="5"/>
  <c r="O33" i="5" s="1"/>
  <c r="AC20" i="5"/>
  <c r="N28" i="5"/>
  <c r="AC26" i="5"/>
  <c r="AC23" i="5"/>
  <c r="N21" i="5"/>
  <c r="N16" i="5"/>
  <c r="N22" i="5"/>
  <c r="J6" i="5"/>
  <c r="AC8" i="5"/>
  <c r="O8" i="5"/>
  <c r="AB19" i="5"/>
  <c r="AB27" i="5"/>
  <c r="AB12" i="5"/>
  <c r="AB22" i="5"/>
  <c r="AB16" i="5"/>
  <c r="AB9" i="5"/>
  <c r="AC9" i="5" s="1"/>
  <c r="AB13" i="5"/>
  <c r="AB7" i="5"/>
  <c r="AB21" i="5"/>
  <c r="AC21" i="5" s="1"/>
  <c r="AB6" i="5"/>
  <c r="AC6" i="5" s="1"/>
  <c r="AB25" i="5"/>
  <c r="AB15" i="5"/>
  <c r="AC15" i="5" s="1"/>
  <c r="AB10" i="5"/>
  <c r="AB24" i="5"/>
  <c r="AC24" i="5" s="1"/>
  <c r="AB18" i="5"/>
  <c r="AC18" i="5" s="1"/>
  <c r="AB28" i="5"/>
  <c r="N24" i="5"/>
  <c r="O24" i="5" s="1"/>
  <c r="AC11" i="5"/>
  <c r="AB3" i="5"/>
  <c r="AC3" i="5" s="1"/>
  <c r="L18" i="5"/>
  <c r="L25" i="5"/>
  <c r="AB4" i="5"/>
  <c r="AC4" i="5" s="1"/>
  <c r="N25" i="5"/>
  <c r="AC12" i="5"/>
  <c r="B19" i="5"/>
  <c r="M4" i="5"/>
  <c r="N15" i="5"/>
  <c r="M7" i="5"/>
  <c r="O7" i="5" s="1"/>
  <c r="AA28" i="5"/>
  <c r="AA10" i="5"/>
  <c r="AA19" i="5"/>
  <c r="AC19" i="5" s="1"/>
  <c r="AA25" i="5"/>
  <c r="AC25" i="5" s="1"/>
  <c r="AA13" i="5"/>
  <c r="AA7" i="5"/>
  <c r="AA16" i="5"/>
  <c r="AA22" i="5"/>
  <c r="AC22" i="5" s="1"/>
  <c r="AC27" i="5"/>
  <c r="M16" i="5"/>
  <c r="K4" i="5"/>
  <c r="L4" i="5"/>
  <c r="O15" i="5"/>
  <c r="O2" i="5"/>
  <c r="J3" i="5"/>
  <c r="O3" i="5" s="1"/>
  <c r="J9" i="5"/>
  <c r="J10" i="5" s="1"/>
  <c r="O10" i="5" s="1"/>
  <c r="N27" i="5"/>
  <c r="O27" i="5" s="1"/>
  <c r="K18" i="5"/>
  <c r="K6" i="5"/>
  <c r="L6" i="5"/>
  <c r="J28" i="5"/>
  <c r="O17" i="5"/>
  <c r="O26" i="5"/>
  <c r="K28" i="5"/>
  <c r="J16" i="5"/>
  <c r="J25" i="5"/>
  <c r="L28" i="5"/>
  <c r="O14" i="5"/>
  <c r="K16" i="5"/>
  <c r="O23" i="5"/>
  <c r="K25" i="5"/>
  <c r="M28" i="5"/>
  <c r="L16" i="5"/>
  <c r="O20" i="5"/>
  <c r="K22" i="5"/>
  <c r="M25" i="5"/>
  <c r="J19" i="5"/>
  <c r="M13" i="5"/>
  <c r="M22" i="5"/>
  <c r="O5" i="5"/>
  <c r="J12" i="5"/>
  <c r="N19" i="5"/>
  <c r="J21" i="5"/>
  <c r="O21" i="5" s="1"/>
  <c r="M19" i="5"/>
  <c r="B19" i="4"/>
  <c r="L4" i="4"/>
  <c r="N4" i="4" s="1"/>
  <c r="L13" i="4"/>
  <c r="I4" i="4"/>
  <c r="M12" i="4"/>
  <c r="I28" i="4"/>
  <c r="J4" i="4"/>
  <c r="M13" i="4"/>
  <c r="L28" i="4"/>
  <c r="M28" i="4"/>
  <c r="M21" i="4"/>
  <c r="J21" i="4"/>
  <c r="M6" i="4"/>
  <c r="M16" i="4"/>
  <c r="M22" i="4"/>
  <c r="M18" i="4"/>
  <c r="L12" i="4"/>
  <c r="L19" i="4"/>
  <c r="L25" i="4"/>
  <c r="M24" i="4"/>
  <c r="L7" i="4"/>
  <c r="I18" i="4"/>
  <c r="I25" i="4"/>
  <c r="M7" i="4"/>
  <c r="J25" i="4"/>
  <c r="L16" i="4"/>
  <c r="M3" i="4"/>
  <c r="N3" i="4" s="1"/>
  <c r="M15" i="4"/>
  <c r="L10" i="4"/>
  <c r="L22" i="4"/>
  <c r="N22" i="4" s="1"/>
  <c r="N8" i="4"/>
  <c r="J6" i="4"/>
  <c r="J7" i="4"/>
  <c r="L15" i="4"/>
  <c r="N17" i="4"/>
  <c r="L24" i="4"/>
  <c r="N24" i="4" s="1"/>
  <c r="N26" i="4"/>
  <c r="N2" i="4"/>
  <c r="N14" i="4"/>
  <c r="N23" i="4"/>
  <c r="N5" i="4"/>
  <c r="I7" i="4"/>
  <c r="I6" i="4"/>
  <c r="I12" i="4"/>
  <c r="N11" i="4"/>
  <c r="I21" i="4"/>
  <c r="N21" i="4" s="1"/>
  <c r="N20" i="4"/>
  <c r="M27" i="4"/>
  <c r="N27" i="4" s="1"/>
  <c r="J28" i="4"/>
  <c r="J18" i="4"/>
  <c r="M19" i="4"/>
  <c r="P26" i="3"/>
  <c r="Q26" i="3" s="1"/>
  <c r="R26" i="3" s="1"/>
  <c r="S26" i="3" s="1"/>
  <c r="O8" i="3"/>
  <c r="P8" i="3" s="1"/>
  <c r="Q8" i="3" s="1"/>
  <c r="R8" i="3" s="1"/>
  <c r="S8" i="3" s="1"/>
  <c r="P17" i="3"/>
  <c r="Q17" i="3" s="1"/>
  <c r="R17" i="3" s="1"/>
  <c r="S17" i="3" s="1"/>
  <c r="P15" i="3"/>
  <c r="Q15" i="3" s="1"/>
  <c r="R15" i="3" s="1"/>
  <c r="S15" i="3" s="1"/>
  <c r="O2" i="3"/>
  <c r="P2" i="3" s="1"/>
  <c r="Q2" i="3" s="1"/>
  <c r="R2" i="3" s="1"/>
  <c r="S2" i="3" s="1"/>
  <c r="O21" i="3"/>
  <c r="P21" i="3" s="1"/>
  <c r="Q21" i="3" s="1"/>
  <c r="R21" i="3" s="1"/>
  <c r="S21" i="3" s="1"/>
  <c r="L21" i="3"/>
  <c r="O9" i="3"/>
  <c r="P9" i="3" s="1"/>
  <c r="Q9" i="3" s="1"/>
  <c r="R9" i="3" s="1"/>
  <c r="S9" i="3" s="1"/>
  <c r="O12" i="3"/>
  <c r="P12" i="3" s="1"/>
  <c r="Q12" i="3" s="1"/>
  <c r="R12" i="3" s="1"/>
  <c r="S12" i="3" s="1"/>
  <c r="J13" i="3"/>
  <c r="O6" i="3"/>
  <c r="P6" i="3" s="1"/>
  <c r="Q6" i="3" s="1"/>
  <c r="R6" i="3" s="1"/>
  <c r="S6" i="3" s="1"/>
  <c r="O28" i="3"/>
  <c r="P28" i="3" s="1"/>
  <c r="Q28" i="3" s="1"/>
  <c r="R28" i="3" s="1"/>
  <c r="S28" i="3" s="1"/>
  <c r="O3" i="3"/>
  <c r="P3" i="3" s="1"/>
  <c r="Q3" i="3" s="1"/>
  <c r="R3" i="3" s="1"/>
  <c r="S3" i="3" s="1"/>
  <c r="J16" i="3"/>
  <c r="J25" i="3"/>
  <c r="L28" i="3"/>
  <c r="L3" i="3"/>
  <c r="O14" i="3"/>
  <c r="P14" i="3" s="1"/>
  <c r="Q14" i="3" s="1"/>
  <c r="R14" i="3" s="1"/>
  <c r="S14" i="3" s="1"/>
  <c r="K16" i="3"/>
  <c r="K25" i="3"/>
  <c r="M28" i="3"/>
  <c r="N6" i="3"/>
  <c r="O23" i="3"/>
  <c r="P23" i="3" s="1"/>
  <c r="Q23" i="3" s="1"/>
  <c r="R23" i="3" s="1"/>
  <c r="S23" i="3" s="1"/>
  <c r="L16" i="3"/>
  <c r="J22" i="3"/>
  <c r="O22" i="3" s="1"/>
  <c r="P22" i="3" s="1"/>
  <c r="Q22" i="3" s="1"/>
  <c r="R22" i="3" s="1"/>
  <c r="S22" i="3" s="1"/>
  <c r="L25" i="3"/>
  <c r="N28" i="3"/>
  <c r="J10" i="3"/>
  <c r="O10" i="3" s="1"/>
  <c r="P10" i="3" s="1"/>
  <c r="Q10" i="3" s="1"/>
  <c r="R10" i="3" s="1"/>
  <c r="S10" i="3" s="1"/>
  <c r="N16" i="3"/>
  <c r="J19" i="3"/>
  <c r="N25" i="3"/>
  <c r="J27" i="3"/>
  <c r="O27" i="3" s="1"/>
  <c r="P27" i="3" s="1"/>
  <c r="Q27" i="3" s="1"/>
  <c r="R27" i="3" s="1"/>
  <c r="S27" i="3" s="1"/>
  <c r="O11" i="3"/>
  <c r="P11" i="3" s="1"/>
  <c r="Q11" i="3" s="1"/>
  <c r="R11" i="3" s="1"/>
  <c r="S11" i="3" s="1"/>
  <c r="O20" i="3"/>
  <c r="P20" i="3" s="1"/>
  <c r="Q20" i="3" s="1"/>
  <c r="R20" i="3" s="1"/>
  <c r="S20" i="3" s="1"/>
  <c r="N13" i="3"/>
  <c r="L19" i="3"/>
  <c r="N22" i="3"/>
  <c r="O5" i="3"/>
  <c r="P5" i="3" s="1"/>
  <c r="Q5" i="3" s="1"/>
  <c r="R5" i="3" s="1"/>
  <c r="S5" i="3" s="1"/>
  <c r="K7" i="3"/>
  <c r="O7" i="3" s="1"/>
  <c r="P7" i="3" s="1"/>
  <c r="Q7" i="3" s="1"/>
  <c r="R7" i="3" s="1"/>
  <c r="S7" i="3" s="1"/>
  <c r="M19" i="3"/>
  <c r="N19" i="3"/>
  <c r="N27" i="3"/>
  <c r="J4" i="3"/>
  <c r="O4" i="3" s="1"/>
  <c r="P4" i="3" s="1"/>
  <c r="Q4" i="3" s="1"/>
  <c r="R4" i="3" s="1"/>
  <c r="S4" i="3" s="1"/>
  <c r="J18" i="3"/>
  <c r="N24" i="3"/>
  <c r="O24" i="3" s="1"/>
  <c r="P24" i="3" s="1"/>
  <c r="Q24" i="3" s="1"/>
  <c r="R24" i="3" s="1"/>
  <c r="S24" i="3" s="1"/>
  <c r="N18" i="3"/>
  <c r="J32" i="2"/>
  <c r="F18" i="2"/>
  <c r="E18" i="2"/>
  <c r="D18" i="2"/>
  <c r="C18" i="2"/>
  <c r="B18" i="2"/>
  <c r="B40" i="2"/>
  <c r="C39" i="2"/>
  <c r="D39" i="2" s="1"/>
  <c r="U29" i="2"/>
  <c r="N26" i="2"/>
  <c r="M26" i="2"/>
  <c r="M27" i="2" s="1"/>
  <c r="L26" i="2"/>
  <c r="L28" i="2" s="1"/>
  <c r="K26" i="2"/>
  <c r="K27" i="2" s="1"/>
  <c r="J26" i="2"/>
  <c r="J27" i="2" s="1"/>
  <c r="N23" i="2"/>
  <c r="M23" i="2"/>
  <c r="L23" i="2"/>
  <c r="L25" i="2" s="1"/>
  <c r="K23" i="2"/>
  <c r="K25" i="2" s="1"/>
  <c r="J23" i="2"/>
  <c r="J25" i="2" s="1"/>
  <c r="N20" i="2"/>
  <c r="M20" i="2"/>
  <c r="L20" i="2"/>
  <c r="L22" i="2" s="1"/>
  <c r="K20" i="2"/>
  <c r="K22" i="2" s="1"/>
  <c r="J20" i="2"/>
  <c r="O20" i="2" s="1"/>
  <c r="N17" i="2"/>
  <c r="M17" i="2"/>
  <c r="M18" i="2" s="1"/>
  <c r="L17" i="2"/>
  <c r="L19" i="2" s="1"/>
  <c r="K17" i="2"/>
  <c r="K19" i="2" s="1"/>
  <c r="J17" i="2"/>
  <c r="J18" i="2" s="1"/>
  <c r="N14" i="2"/>
  <c r="M14" i="2"/>
  <c r="M15" i="2" s="1"/>
  <c r="L14" i="2"/>
  <c r="L15" i="2" s="1"/>
  <c r="K14" i="2"/>
  <c r="K16" i="2" s="1"/>
  <c r="J14" i="2"/>
  <c r="J16" i="2" s="1"/>
  <c r="N11" i="2"/>
  <c r="M11" i="2"/>
  <c r="M12" i="2" s="1"/>
  <c r="L11" i="2"/>
  <c r="L12" i="2" s="1"/>
  <c r="L13" i="2" s="1"/>
  <c r="K11" i="2"/>
  <c r="K12" i="2" s="1"/>
  <c r="K13" i="2" s="1"/>
  <c r="J11" i="2"/>
  <c r="J12" i="2" s="1"/>
  <c r="J13" i="2" s="1"/>
  <c r="N8" i="2"/>
  <c r="M8" i="2"/>
  <c r="M9" i="2" s="1"/>
  <c r="L8" i="2"/>
  <c r="L9" i="2" s="1"/>
  <c r="L10" i="2" s="1"/>
  <c r="K8" i="2"/>
  <c r="K9" i="2" s="1"/>
  <c r="K10" i="2" s="1"/>
  <c r="J8" i="2"/>
  <c r="J9" i="2" s="1"/>
  <c r="N5" i="2"/>
  <c r="M5" i="2"/>
  <c r="M6" i="2" s="1"/>
  <c r="L5" i="2"/>
  <c r="L6" i="2" s="1"/>
  <c r="K5" i="2"/>
  <c r="K6" i="2" s="1"/>
  <c r="J5" i="2"/>
  <c r="N2" i="2"/>
  <c r="M2" i="2"/>
  <c r="M3" i="2" s="1"/>
  <c r="L2" i="2"/>
  <c r="L3" i="2" s="1"/>
  <c r="K2" i="2"/>
  <c r="K3" i="2" s="1"/>
  <c r="J2" i="2"/>
  <c r="J4" i="2" s="1"/>
  <c r="N28" i="1"/>
  <c r="N25" i="1"/>
  <c r="N22" i="1"/>
  <c r="N19" i="1"/>
  <c r="N16" i="1"/>
  <c r="N13" i="1"/>
  <c r="N10" i="1"/>
  <c r="N7" i="1"/>
  <c r="U29" i="1"/>
  <c r="M28" i="1"/>
  <c r="K28" i="1"/>
  <c r="L28" i="1"/>
  <c r="J28" i="1"/>
  <c r="N27" i="1"/>
  <c r="K27" i="1"/>
  <c r="L27" i="1"/>
  <c r="M27" i="1"/>
  <c r="J27" i="1"/>
  <c r="K26" i="1"/>
  <c r="L26" i="1"/>
  <c r="M26" i="1"/>
  <c r="N26" i="1"/>
  <c r="J26" i="1"/>
  <c r="M25" i="1"/>
  <c r="N24" i="1"/>
  <c r="K25" i="1"/>
  <c r="J25" i="1"/>
  <c r="K24" i="1"/>
  <c r="M24" i="1"/>
  <c r="J24" i="1"/>
  <c r="K23" i="1"/>
  <c r="L23" i="1"/>
  <c r="L25" i="1" s="1"/>
  <c r="M23" i="1"/>
  <c r="N23" i="1"/>
  <c r="J23" i="1"/>
  <c r="J11" i="1"/>
  <c r="J12" i="1" s="1"/>
  <c r="J13" i="1" s="1"/>
  <c r="M22" i="1"/>
  <c r="K22" i="1"/>
  <c r="J22" i="1"/>
  <c r="N21" i="1"/>
  <c r="K21" i="1"/>
  <c r="M21" i="1"/>
  <c r="J21" i="1"/>
  <c r="K20" i="1"/>
  <c r="L20" i="1"/>
  <c r="L22" i="1" s="1"/>
  <c r="M20" i="1"/>
  <c r="N20" i="1"/>
  <c r="J20" i="1"/>
  <c r="M19" i="1"/>
  <c r="K19" i="1"/>
  <c r="J19" i="1"/>
  <c r="N18" i="1"/>
  <c r="K18" i="1"/>
  <c r="M18" i="1"/>
  <c r="J18" i="1"/>
  <c r="K17" i="1"/>
  <c r="L17" i="1"/>
  <c r="L19" i="1" s="1"/>
  <c r="M17" i="1"/>
  <c r="N17" i="1"/>
  <c r="J17" i="1"/>
  <c r="M16" i="1"/>
  <c r="K16" i="1"/>
  <c r="J16" i="1"/>
  <c r="N15" i="1"/>
  <c r="K15" i="1"/>
  <c r="M15" i="1"/>
  <c r="J15" i="1"/>
  <c r="K14" i="1"/>
  <c r="L14" i="1"/>
  <c r="L16" i="1" s="1"/>
  <c r="M14" i="1"/>
  <c r="N14" i="1"/>
  <c r="J14" i="1"/>
  <c r="M13" i="1"/>
  <c r="K13" i="1"/>
  <c r="N12" i="1"/>
  <c r="K12" i="1"/>
  <c r="M12" i="1"/>
  <c r="K11" i="1"/>
  <c r="L11" i="1"/>
  <c r="L12" i="1" s="1"/>
  <c r="L13" i="1" s="1"/>
  <c r="M11" i="1"/>
  <c r="N11" i="1"/>
  <c r="M10" i="1"/>
  <c r="K10" i="1"/>
  <c r="J10" i="1"/>
  <c r="N9" i="1"/>
  <c r="K9" i="1"/>
  <c r="L9" i="1"/>
  <c r="L10" i="1" s="1"/>
  <c r="M9" i="1"/>
  <c r="J9" i="1"/>
  <c r="K8" i="1"/>
  <c r="L8" i="1"/>
  <c r="M8" i="1"/>
  <c r="N8" i="1"/>
  <c r="J8" i="1"/>
  <c r="C15" i="1"/>
  <c r="D15" i="1"/>
  <c r="E15" i="1"/>
  <c r="F15" i="1"/>
  <c r="B15" i="1"/>
  <c r="L39" i="7" l="1"/>
  <c r="S38" i="7" s="1"/>
  <c r="S40" i="7"/>
  <c r="S39" i="7"/>
  <c r="AG36" i="7"/>
  <c r="L39" i="6"/>
  <c r="L41" i="6" s="1"/>
  <c r="S42" i="6" s="1"/>
  <c r="AG36" i="6"/>
  <c r="S61" i="6"/>
  <c r="P11" i="5"/>
  <c r="Q11" i="5" s="1"/>
  <c r="R11" i="5" s="1"/>
  <c r="S11" i="5" s="1"/>
  <c r="AD33" i="5"/>
  <c r="AE33" i="5" s="1"/>
  <c r="P33" i="5"/>
  <c r="Q33" i="5" s="1"/>
  <c r="R33" i="5" s="1"/>
  <c r="S33" i="5" s="1"/>
  <c r="AC28" i="5"/>
  <c r="O4" i="5"/>
  <c r="P4" i="5" s="1"/>
  <c r="Q4" i="5" s="1"/>
  <c r="R4" i="5" s="1"/>
  <c r="S4" i="5" s="1"/>
  <c r="P5" i="5"/>
  <c r="Q5" i="5" s="1"/>
  <c r="R5" i="5" s="1"/>
  <c r="S5" i="5" s="1"/>
  <c r="AD9" i="5"/>
  <c r="AE9" i="5" s="1"/>
  <c r="AF9" i="5" s="1"/>
  <c r="AG9" i="5" s="1"/>
  <c r="AD15" i="5"/>
  <c r="AE15" i="5" s="1"/>
  <c r="AF15" i="5" s="1"/>
  <c r="AG15" i="5" s="1"/>
  <c r="P20" i="5"/>
  <c r="Q20" i="5" s="1"/>
  <c r="R20" i="5" s="1"/>
  <c r="S20" i="5" s="1"/>
  <c r="P8" i="5"/>
  <c r="Q8" i="5" s="1"/>
  <c r="R8" i="5" s="1"/>
  <c r="S8" i="5" s="1"/>
  <c r="P17" i="5"/>
  <c r="Q17" i="5" s="1"/>
  <c r="R17" i="5" s="1"/>
  <c r="S17" i="5" s="1"/>
  <c r="P23" i="5"/>
  <c r="Q23" i="5" s="1"/>
  <c r="R23" i="5" s="1"/>
  <c r="S23" i="5" s="1"/>
  <c r="P10" i="5"/>
  <c r="Q10" i="5" s="1"/>
  <c r="R10" i="5" s="1"/>
  <c r="S10" i="5" s="1"/>
  <c r="P26" i="5"/>
  <c r="Q26" i="5" s="1"/>
  <c r="R26" i="5" s="1"/>
  <c r="S26" i="5" s="1"/>
  <c r="AD14" i="5"/>
  <c r="AE14" i="5" s="1"/>
  <c r="AF14" i="5" s="1"/>
  <c r="AG14" i="5" s="1"/>
  <c r="P3" i="5"/>
  <c r="Q3" i="5" s="1"/>
  <c r="R3" i="5" s="1"/>
  <c r="P7" i="5"/>
  <c r="Q7" i="5" s="1"/>
  <c r="R7" i="5" s="1"/>
  <c r="S7" i="5" s="1"/>
  <c r="AD12" i="5"/>
  <c r="AE12" i="5" s="1"/>
  <c r="AF12" i="5" s="1"/>
  <c r="AG12" i="5" s="1"/>
  <c r="AD11" i="5"/>
  <c r="AE11" i="5" s="1"/>
  <c r="AF11" i="5" s="1"/>
  <c r="AG11" i="5" s="1"/>
  <c r="P14" i="5"/>
  <c r="Q14" i="5" s="1"/>
  <c r="R14" i="5" s="1"/>
  <c r="S14" i="5" s="1"/>
  <c r="P2" i="5"/>
  <c r="Q2" i="5" s="1"/>
  <c r="AD8" i="5"/>
  <c r="AE8" i="5" s="1"/>
  <c r="AF8" i="5" s="1"/>
  <c r="AG8" i="5" s="1"/>
  <c r="P24" i="5"/>
  <c r="Q24" i="5" s="1"/>
  <c r="R24" i="5" s="1"/>
  <c r="S24" i="5" s="1"/>
  <c r="P27" i="5"/>
  <c r="Q27" i="5" s="1"/>
  <c r="R27" i="5" s="1"/>
  <c r="S27" i="5" s="1"/>
  <c r="P21" i="5"/>
  <c r="Q21" i="5" s="1"/>
  <c r="R21" i="5" s="1"/>
  <c r="S21" i="5" s="1"/>
  <c r="P15" i="5"/>
  <c r="Q15" i="5" s="1"/>
  <c r="R15" i="5" s="1"/>
  <c r="S15" i="5" s="1"/>
  <c r="O6" i="5"/>
  <c r="P6" i="5" s="1"/>
  <c r="Q6" i="5" s="1"/>
  <c r="R6" i="5" s="1"/>
  <c r="S6" i="5" s="1"/>
  <c r="AC13" i="5"/>
  <c r="AD13" i="5" s="1"/>
  <c r="AE13" i="5" s="1"/>
  <c r="AF13" i="5" s="1"/>
  <c r="AG13" i="5" s="1"/>
  <c r="AC16" i="5"/>
  <c r="AD16" i="5" s="1"/>
  <c r="AE16" i="5" s="1"/>
  <c r="AF16" i="5" s="1"/>
  <c r="AG16" i="5" s="1"/>
  <c r="AC10" i="5"/>
  <c r="AD10" i="5" s="1"/>
  <c r="AE10" i="5" s="1"/>
  <c r="AF10" i="5" s="1"/>
  <c r="AG10" i="5" s="1"/>
  <c r="O18" i="5"/>
  <c r="P18" i="5" s="1"/>
  <c r="Q18" i="5" s="1"/>
  <c r="R18" i="5" s="1"/>
  <c r="S18" i="5" s="1"/>
  <c r="AC7" i="5"/>
  <c r="O22" i="5"/>
  <c r="P22" i="5" s="1"/>
  <c r="Q22" i="5" s="1"/>
  <c r="R22" i="5" s="1"/>
  <c r="S22" i="5" s="1"/>
  <c r="O9" i="5"/>
  <c r="P9" i="5" s="1"/>
  <c r="Q9" i="5" s="1"/>
  <c r="R9" i="5" s="1"/>
  <c r="S9" i="5" s="1"/>
  <c r="O25" i="5"/>
  <c r="P25" i="5" s="1"/>
  <c r="Q25" i="5" s="1"/>
  <c r="R25" i="5" s="1"/>
  <c r="S25" i="5" s="1"/>
  <c r="O12" i="5"/>
  <c r="P12" i="5" s="1"/>
  <c r="Q12" i="5" s="1"/>
  <c r="R12" i="5" s="1"/>
  <c r="S12" i="5" s="1"/>
  <c r="J13" i="5"/>
  <c r="O13" i="5" s="1"/>
  <c r="P13" i="5" s="1"/>
  <c r="Q13" i="5" s="1"/>
  <c r="R13" i="5" s="1"/>
  <c r="S13" i="5" s="1"/>
  <c r="O16" i="5"/>
  <c r="P16" i="5" s="1"/>
  <c r="Q16" i="5" s="1"/>
  <c r="R16" i="5" s="1"/>
  <c r="S16" i="5" s="1"/>
  <c r="O19" i="5"/>
  <c r="P19" i="5" s="1"/>
  <c r="Q19" i="5" s="1"/>
  <c r="R19" i="5" s="1"/>
  <c r="S19" i="5" s="1"/>
  <c r="O28" i="5"/>
  <c r="P28" i="5" s="1"/>
  <c r="Q28" i="5" s="1"/>
  <c r="R28" i="5" s="1"/>
  <c r="S28" i="5" s="1"/>
  <c r="O27" i="4"/>
  <c r="O17" i="4"/>
  <c r="O20" i="4"/>
  <c r="O4" i="4"/>
  <c r="O21" i="4"/>
  <c r="O8" i="4"/>
  <c r="O11" i="4"/>
  <c r="O22" i="4"/>
  <c r="O3" i="4"/>
  <c r="O5" i="4"/>
  <c r="O23" i="4"/>
  <c r="O14" i="4"/>
  <c r="O2" i="4"/>
  <c r="O26" i="4"/>
  <c r="O24" i="4"/>
  <c r="N19" i="4"/>
  <c r="O19" i="4" s="1"/>
  <c r="N16" i="4"/>
  <c r="O16" i="4" s="1"/>
  <c r="N7" i="4"/>
  <c r="O7" i="4" s="1"/>
  <c r="N25" i="4"/>
  <c r="O25" i="4" s="1"/>
  <c r="N28" i="4"/>
  <c r="O28" i="4" s="1"/>
  <c r="N15" i="4"/>
  <c r="O15" i="4" s="1"/>
  <c r="N12" i="4"/>
  <c r="O12" i="4" s="1"/>
  <c r="I13" i="4"/>
  <c r="N13" i="4" s="1"/>
  <c r="O13" i="4" s="1"/>
  <c r="N18" i="4"/>
  <c r="O18" i="4" s="1"/>
  <c r="N10" i="4"/>
  <c r="O10" i="4" s="1"/>
  <c r="N9" i="4"/>
  <c r="O9" i="4" s="1"/>
  <c r="N6" i="4"/>
  <c r="O6" i="4" s="1"/>
  <c r="O13" i="3"/>
  <c r="P13" i="3" s="1"/>
  <c r="Q13" i="3" s="1"/>
  <c r="R13" i="3" s="1"/>
  <c r="S13" i="3" s="1"/>
  <c r="O19" i="3"/>
  <c r="P19" i="3" s="1"/>
  <c r="Q19" i="3" s="1"/>
  <c r="R19" i="3" s="1"/>
  <c r="S19" i="3" s="1"/>
  <c r="O18" i="3"/>
  <c r="P18" i="3" s="1"/>
  <c r="Q18" i="3" s="1"/>
  <c r="R18" i="3" s="1"/>
  <c r="S18" i="3" s="1"/>
  <c r="O25" i="3"/>
  <c r="P25" i="3" s="1"/>
  <c r="Q25" i="3" s="1"/>
  <c r="R25" i="3" s="1"/>
  <c r="S25" i="3" s="1"/>
  <c r="O16" i="3"/>
  <c r="P16" i="3" s="1"/>
  <c r="Q16" i="3" s="1"/>
  <c r="R16" i="3" s="1"/>
  <c r="S16" i="3" s="1"/>
  <c r="N22" i="2"/>
  <c r="N33" i="2"/>
  <c r="N32" i="2"/>
  <c r="N34" i="2"/>
  <c r="N35" i="2"/>
  <c r="N36" i="2"/>
  <c r="N37" i="2"/>
  <c r="N38" i="2"/>
  <c r="N39" i="2"/>
  <c r="N40" i="2"/>
  <c r="M33" i="2"/>
  <c r="O33" i="2" s="1"/>
  <c r="M32" i="2"/>
  <c r="O32" i="2" s="1"/>
  <c r="M38" i="2"/>
  <c r="O38" i="2" s="1"/>
  <c r="M39" i="2"/>
  <c r="O39" i="2" s="1"/>
  <c r="M37" i="2"/>
  <c r="O37" i="2" s="1"/>
  <c r="M40" i="2"/>
  <c r="O40" i="2" s="1"/>
  <c r="M34" i="2"/>
  <c r="M35" i="2"/>
  <c r="M36" i="2"/>
  <c r="M25" i="2"/>
  <c r="M10" i="2"/>
  <c r="M22" i="2"/>
  <c r="J28" i="2"/>
  <c r="J3" i="2"/>
  <c r="K28" i="2"/>
  <c r="J15" i="2"/>
  <c r="K15" i="2"/>
  <c r="J24" i="2"/>
  <c r="K24" i="2"/>
  <c r="N7" i="2"/>
  <c r="O26" i="2"/>
  <c r="N16" i="2"/>
  <c r="O23" i="2"/>
  <c r="N12" i="2"/>
  <c r="O12" i="2" s="1"/>
  <c r="J21" i="2"/>
  <c r="L27" i="2"/>
  <c r="K21" i="2"/>
  <c r="J6" i="2"/>
  <c r="L21" i="2"/>
  <c r="L24" i="2"/>
  <c r="M21" i="2"/>
  <c r="M24" i="2"/>
  <c r="K7" i="2"/>
  <c r="N21" i="2"/>
  <c r="K18" i="2"/>
  <c r="J22" i="2"/>
  <c r="L18" i="2"/>
  <c r="B19" i="2"/>
  <c r="N18" i="2"/>
  <c r="N25" i="2"/>
  <c r="M13" i="2"/>
  <c r="L24" i="1"/>
  <c r="O24" i="1" s="1"/>
  <c r="P24" i="1" s="1"/>
  <c r="Q24" i="1" s="1"/>
  <c r="R24" i="1" s="1"/>
  <c r="L21" i="1"/>
  <c r="O21" i="1" s="1"/>
  <c r="P21" i="1" s="1"/>
  <c r="Q21" i="1" s="1"/>
  <c r="R21" i="1" s="1"/>
  <c r="L18" i="1"/>
  <c r="L15" i="1"/>
  <c r="O15" i="1" s="1"/>
  <c r="P15" i="1" s="1"/>
  <c r="Q15" i="1" s="1"/>
  <c r="R15" i="1" s="1"/>
  <c r="L7" i="2"/>
  <c r="O5" i="2"/>
  <c r="J10" i="2"/>
  <c r="M16" i="2"/>
  <c r="N9" i="2"/>
  <c r="O9" i="2" s="1"/>
  <c r="N6" i="2"/>
  <c r="N3" i="2"/>
  <c r="O3" i="2" s="1"/>
  <c r="N27" i="2"/>
  <c r="N13" i="2"/>
  <c r="N24" i="2"/>
  <c r="N10" i="2"/>
  <c r="J19" i="2"/>
  <c r="O17" i="2"/>
  <c r="N28" i="2"/>
  <c r="O14" i="2"/>
  <c r="L16" i="2"/>
  <c r="K4" i="2"/>
  <c r="O8" i="2"/>
  <c r="L4" i="2"/>
  <c r="M4" i="2"/>
  <c r="M28" i="2"/>
  <c r="O2" i="2"/>
  <c r="M19" i="2"/>
  <c r="O11" i="2"/>
  <c r="N19" i="2"/>
  <c r="N15" i="2"/>
  <c r="O8" i="1"/>
  <c r="O9" i="1"/>
  <c r="O10" i="1"/>
  <c r="O11" i="1"/>
  <c r="O12" i="1"/>
  <c r="O13" i="1"/>
  <c r="O14" i="1"/>
  <c r="O16" i="1"/>
  <c r="O17" i="1"/>
  <c r="O18" i="1"/>
  <c r="O19" i="1"/>
  <c r="O20" i="1"/>
  <c r="O22" i="1"/>
  <c r="O23" i="1"/>
  <c r="O25" i="1"/>
  <c r="O26" i="1"/>
  <c r="O27" i="1"/>
  <c r="O28" i="1"/>
  <c r="K5" i="1"/>
  <c r="K7" i="1" s="1"/>
  <c r="L5" i="1"/>
  <c r="L7" i="1" s="1"/>
  <c r="M5" i="1"/>
  <c r="M7" i="1" s="1"/>
  <c r="N5" i="1"/>
  <c r="J5" i="1"/>
  <c r="B16" i="1"/>
  <c r="K2" i="1"/>
  <c r="K4" i="1" s="1"/>
  <c r="L2" i="1"/>
  <c r="L4" i="1" s="1"/>
  <c r="M2" i="1"/>
  <c r="M4" i="1" s="1"/>
  <c r="N2" i="1"/>
  <c r="J2" i="1"/>
  <c r="J4" i="1" s="1"/>
  <c r="L41" i="7" l="1"/>
  <c r="S42" i="7" s="1"/>
  <c r="S46" i="7" s="1"/>
  <c r="AF33" i="5"/>
  <c r="AG33" i="5" s="1"/>
  <c r="R2" i="5"/>
  <c r="Q29" i="5"/>
  <c r="P29" i="5"/>
  <c r="AD17" i="5"/>
  <c r="AE17" i="5" s="1"/>
  <c r="AD20" i="5"/>
  <c r="AE20" i="5" s="1"/>
  <c r="AF20" i="5" s="1"/>
  <c r="AG20" i="5" s="1"/>
  <c r="S3" i="5"/>
  <c r="AD23" i="5"/>
  <c r="AE23" i="5" s="1"/>
  <c r="AF23" i="5" s="1"/>
  <c r="AG23" i="5" s="1"/>
  <c r="AD3" i="5"/>
  <c r="AD4" i="5"/>
  <c r="AC2" i="5"/>
  <c r="AD2" i="5" s="1"/>
  <c r="AE2" i="5" s="1"/>
  <c r="AD26" i="5"/>
  <c r="AE26" i="5" s="1"/>
  <c r="AF26" i="5" s="1"/>
  <c r="AG26" i="5" s="1"/>
  <c r="O29" i="4"/>
  <c r="S29" i="3"/>
  <c r="O36" i="2"/>
  <c r="O35" i="2"/>
  <c r="O34" i="2"/>
  <c r="O25" i="2"/>
  <c r="P25" i="2" s="1"/>
  <c r="Q25" i="2" s="1"/>
  <c r="R25" i="2" s="1"/>
  <c r="V25" i="2" s="1"/>
  <c r="O41" i="2"/>
  <c r="O22" i="2"/>
  <c r="P22" i="2" s="1"/>
  <c r="Q22" i="2" s="1"/>
  <c r="R22" i="2" s="1"/>
  <c r="V22" i="2" s="1"/>
  <c r="P20" i="2"/>
  <c r="Q20" i="2" s="1"/>
  <c r="R20" i="2" s="1"/>
  <c r="V20" i="2" s="1"/>
  <c r="P33" i="2"/>
  <c r="P34" i="2"/>
  <c r="P35" i="2"/>
  <c r="P36" i="2"/>
  <c r="P37" i="2"/>
  <c r="P38" i="2"/>
  <c r="P39" i="2"/>
  <c r="P40" i="2"/>
  <c r="P32" i="2"/>
  <c r="P41" i="2" s="1"/>
  <c r="P12" i="2"/>
  <c r="Q12" i="2" s="1"/>
  <c r="R12" i="2" s="1"/>
  <c r="V12" i="2" s="1"/>
  <c r="P23" i="2"/>
  <c r="Q23" i="2" s="1"/>
  <c r="R23" i="2" s="1"/>
  <c r="V23" i="2" s="1"/>
  <c r="P11" i="2"/>
  <c r="Q11" i="2" s="1"/>
  <c r="R11" i="2" s="1"/>
  <c r="V11" i="2" s="1"/>
  <c r="P26" i="2"/>
  <c r="Q26" i="2" s="1"/>
  <c r="R26" i="2" s="1"/>
  <c r="V26" i="2" s="1"/>
  <c r="O13" i="2"/>
  <c r="P13" i="2" s="1"/>
  <c r="Q13" i="2" s="1"/>
  <c r="R13" i="2" s="1"/>
  <c r="V13" i="2" s="1"/>
  <c r="P3" i="2"/>
  <c r="Q3" i="2" s="1"/>
  <c r="R3" i="2" s="1"/>
  <c r="V3" i="2" s="1"/>
  <c r="P2" i="2"/>
  <c r="Q2" i="2" s="1"/>
  <c r="R2" i="2" s="1"/>
  <c r="V2" i="2" s="1"/>
  <c r="P9" i="2"/>
  <c r="Q9" i="2" s="1"/>
  <c r="R9" i="2" s="1"/>
  <c r="V9" i="2" s="1"/>
  <c r="O15" i="2"/>
  <c r="P15" i="2" s="1"/>
  <c r="Q15" i="2" s="1"/>
  <c r="R15" i="2" s="1"/>
  <c r="V15" i="2" s="1"/>
  <c r="O6" i="2"/>
  <c r="P6" i="2" s="1"/>
  <c r="Q6" i="2" s="1"/>
  <c r="R6" i="2" s="1"/>
  <c r="V6" i="2" s="1"/>
  <c r="O27" i="2"/>
  <c r="P27" i="2" s="1"/>
  <c r="Q27" i="2" s="1"/>
  <c r="R27" i="2" s="1"/>
  <c r="V27" i="2" s="1"/>
  <c r="O10" i="2"/>
  <c r="P10" i="2" s="1"/>
  <c r="Q10" i="2" s="1"/>
  <c r="R10" i="2" s="1"/>
  <c r="V10" i="2" s="1"/>
  <c r="O18" i="2"/>
  <c r="P18" i="2" s="1"/>
  <c r="Q18" i="2" s="1"/>
  <c r="R18" i="2" s="1"/>
  <c r="V18" i="2" s="1"/>
  <c r="P5" i="2"/>
  <c r="Q5" i="2" s="1"/>
  <c r="R5" i="2" s="1"/>
  <c r="V5" i="2" s="1"/>
  <c r="P14" i="2"/>
  <c r="Q14" i="2" s="1"/>
  <c r="R14" i="2" s="1"/>
  <c r="V14" i="2" s="1"/>
  <c r="O21" i="2"/>
  <c r="P21" i="2" s="1"/>
  <c r="Q21" i="2" s="1"/>
  <c r="R21" i="2" s="1"/>
  <c r="V21" i="2" s="1"/>
  <c r="O28" i="2"/>
  <c r="P28" i="2" s="1"/>
  <c r="Q28" i="2" s="1"/>
  <c r="R28" i="2" s="1"/>
  <c r="V28" i="2" s="1"/>
  <c r="P8" i="2"/>
  <c r="Q8" i="2" s="1"/>
  <c r="R8" i="2" s="1"/>
  <c r="V8" i="2" s="1"/>
  <c r="O4" i="2"/>
  <c r="P4" i="2" s="1"/>
  <c r="Q4" i="2" s="1"/>
  <c r="R4" i="2" s="1"/>
  <c r="V4" i="2" s="1"/>
  <c r="O16" i="2"/>
  <c r="P16" i="2" s="1"/>
  <c r="Q16" i="2" s="1"/>
  <c r="R16" i="2" s="1"/>
  <c r="V16" i="2" s="1"/>
  <c r="P17" i="2"/>
  <c r="Q17" i="2" s="1"/>
  <c r="R17" i="2" s="1"/>
  <c r="V17" i="2" s="1"/>
  <c r="O24" i="2"/>
  <c r="P24" i="2" s="1"/>
  <c r="Q24" i="2" s="1"/>
  <c r="R24" i="2" s="1"/>
  <c r="V24" i="2" s="1"/>
  <c r="P23" i="1"/>
  <c r="Q23" i="1" s="1"/>
  <c r="R23" i="1" s="1"/>
  <c r="P18" i="1"/>
  <c r="Q18" i="1" s="1"/>
  <c r="R18" i="1" s="1"/>
  <c r="P17" i="1"/>
  <c r="Q17" i="1" s="1"/>
  <c r="R17" i="1" s="1"/>
  <c r="P16" i="1"/>
  <c r="Q16" i="1" s="1"/>
  <c r="R16" i="1" s="1"/>
  <c r="P14" i="1"/>
  <c r="Q14" i="1" s="1"/>
  <c r="R14" i="1" s="1"/>
  <c r="S14" i="1" s="1"/>
  <c r="V14" i="1" s="1"/>
  <c r="P13" i="1"/>
  <c r="Q13" i="1" s="1"/>
  <c r="R13" i="1" s="1"/>
  <c r="P28" i="1"/>
  <c r="Q28" i="1" s="1"/>
  <c r="R28" i="1" s="1"/>
  <c r="P12" i="1"/>
  <c r="Q12" i="1" s="1"/>
  <c r="R12" i="1" s="1"/>
  <c r="P27" i="1"/>
  <c r="Q27" i="1" s="1"/>
  <c r="R27" i="1" s="1"/>
  <c r="S27" i="1" s="1"/>
  <c r="V27" i="1" s="1"/>
  <c r="P11" i="1"/>
  <c r="Q11" i="1" s="1"/>
  <c r="R11" i="1" s="1"/>
  <c r="S11" i="1" s="1"/>
  <c r="V11" i="1" s="1"/>
  <c r="P26" i="1"/>
  <c r="Q26" i="1" s="1"/>
  <c r="R26" i="1" s="1"/>
  <c r="P10" i="1"/>
  <c r="Q10" i="1" s="1"/>
  <c r="R10" i="1" s="1"/>
  <c r="S10" i="1" s="1"/>
  <c r="V10" i="1" s="1"/>
  <c r="P25" i="1"/>
  <c r="Q25" i="1" s="1"/>
  <c r="R25" i="1" s="1"/>
  <c r="S25" i="1" s="1"/>
  <c r="V25" i="1" s="1"/>
  <c r="P9" i="1"/>
  <c r="Q9" i="1" s="1"/>
  <c r="R9" i="1" s="1"/>
  <c r="S9" i="1" s="1"/>
  <c r="V9" i="1" s="1"/>
  <c r="P8" i="1"/>
  <c r="Q8" i="1" s="1"/>
  <c r="R8" i="1" s="1"/>
  <c r="P22" i="1"/>
  <c r="Q22" i="1" s="1"/>
  <c r="R22" i="1" s="1"/>
  <c r="S22" i="1" s="1"/>
  <c r="V22" i="1" s="1"/>
  <c r="P20" i="1"/>
  <c r="Q20" i="1" s="1"/>
  <c r="R20" i="1" s="1"/>
  <c r="P19" i="1"/>
  <c r="Q19" i="1" s="1"/>
  <c r="R19" i="1" s="1"/>
  <c r="O7" i="2"/>
  <c r="P7" i="2" s="1"/>
  <c r="Q7" i="2" s="1"/>
  <c r="R7" i="2" s="1"/>
  <c r="O19" i="2"/>
  <c r="P19" i="2" s="1"/>
  <c r="Q19" i="2" s="1"/>
  <c r="R19" i="2" s="1"/>
  <c r="V19" i="2" s="1"/>
  <c r="S19" i="1"/>
  <c r="V19" i="1" s="1"/>
  <c r="J3" i="1"/>
  <c r="O5" i="1"/>
  <c r="K6" i="1"/>
  <c r="O4" i="1"/>
  <c r="P4" i="1" s="1"/>
  <c r="Q4" i="1" s="1"/>
  <c r="R4" i="1" s="1"/>
  <c r="S4" i="1" s="1"/>
  <c r="V4" i="1" s="1"/>
  <c r="S16" i="1"/>
  <c r="V16" i="1" s="1"/>
  <c r="L6" i="1"/>
  <c r="J6" i="1"/>
  <c r="N6" i="1"/>
  <c r="M3" i="1"/>
  <c r="L3" i="1"/>
  <c r="N3" i="1"/>
  <c r="J7" i="1"/>
  <c r="O7" i="1" s="1"/>
  <c r="S17" i="1"/>
  <c r="V17" i="1" s="1"/>
  <c r="K3" i="1"/>
  <c r="M6" i="1"/>
  <c r="S13" i="1"/>
  <c r="V13" i="1" s="1"/>
  <c r="S18" i="1"/>
  <c r="V18" i="1" s="1"/>
  <c r="S12" i="1"/>
  <c r="V12" i="1" s="1"/>
  <c r="S26" i="1"/>
  <c r="V26" i="1" s="1"/>
  <c r="S24" i="1"/>
  <c r="V24" i="1" s="1"/>
  <c r="S8" i="1"/>
  <c r="V8" i="1" s="1"/>
  <c r="S28" i="1"/>
  <c r="V28" i="1" s="1"/>
  <c r="S23" i="1"/>
  <c r="V23" i="1" s="1"/>
  <c r="S21" i="1"/>
  <c r="V21" i="1" s="1"/>
  <c r="S20" i="1"/>
  <c r="V20" i="1" s="1"/>
  <c r="S15" i="1"/>
  <c r="V15" i="1" s="1"/>
  <c r="O2" i="1"/>
  <c r="P2" i="1" s="1"/>
  <c r="S2" i="5" l="1"/>
  <c r="S29" i="5" s="1"/>
  <c r="R29" i="5"/>
  <c r="AF17" i="5"/>
  <c r="AG17" i="5" s="1"/>
  <c r="AE4" i="5"/>
  <c r="AF4" i="5" s="1"/>
  <c r="AG4" i="5" s="1"/>
  <c r="AE3" i="5"/>
  <c r="AF3" i="5" s="1"/>
  <c r="AG3" i="5" s="1"/>
  <c r="AF2" i="5"/>
  <c r="AD24" i="5"/>
  <c r="AE24" i="5" s="1"/>
  <c r="AF24" i="5" s="1"/>
  <c r="AG24" i="5" s="1"/>
  <c r="AD21" i="5"/>
  <c r="AE21" i="5" s="1"/>
  <c r="AF21" i="5" s="1"/>
  <c r="AG21" i="5" s="1"/>
  <c r="AD22" i="5"/>
  <c r="AE22" i="5" s="1"/>
  <c r="AF22" i="5" s="1"/>
  <c r="AG22" i="5" s="1"/>
  <c r="AD28" i="5"/>
  <c r="AE28" i="5" s="1"/>
  <c r="AF28" i="5" s="1"/>
  <c r="AG28" i="5" s="1"/>
  <c r="AD27" i="5"/>
  <c r="AE27" i="5" s="1"/>
  <c r="AF27" i="5" s="1"/>
  <c r="AG27" i="5" s="1"/>
  <c r="AD6" i="5"/>
  <c r="AD7" i="5"/>
  <c r="AD19" i="5"/>
  <c r="AE19" i="5" s="1"/>
  <c r="AF19" i="5" s="1"/>
  <c r="AG19" i="5" s="1"/>
  <c r="AD18" i="5"/>
  <c r="AE18" i="5" s="1"/>
  <c r="AF18" i="5" s="1"/>
  <c r="AG18" i="5" s="1"/>
  <c r="AD5" i="5"/>
  <c r="AD25" i="5"/>
  <c r="AE25" i="5" s="1"/>
  <c r="AF25" i="5" s="1"/>
  <c r="AG25" i="5" s="1"/>
  <c r="S7" i="2"/>
  <c r="V7" i="2" s="1"/>
  <c r="Q2" i="1"/>
  <c r="R2" i="1" s="1"/>
  <c r="S2" i="1" s="1"/>
  <c r="V2" i="1" s="1"/>
  <c r="P5" i="1"/>
  <c r="Q5" i="1" s="1"/>
  <c r="R5" i="1" s="1"/>
  <c r="S5" i="1" s="1"/>
  <c r="V5" i="1" s="1"/>
  <c r="O3" i="1"/>
  <c r="P3" i="1" s="1"/>
  <c r="Q3" i="1" s="1"/>
  <c r="R3" i="1" s="1"/>
  <c r="S3" i="1" s="1"/>
  <c r="V3" i="1" s="1"/>
  <c r="S29" i="2"/>
  <c r="P7" i="1"/>
  <c r="Q7" i="1" s="1"/>
  <c r="R7" i="1" s="1"/>
  <c r="S7" i="1" s="1"/>
  <c r="V7" i="1" s="1"/>
  <c r="O6" i="1"/>
  <c r="AE6" i="5" l="1"/>
  <c r="AF6" i="5" s="1"/>
  <c r="AG6" i="5" s="1"/>
  <c r="AE7" i="5"/>
  <c r="AF7" i="5" s="1"/>
  <c r="AG7" i="5" s="1"/>
  <c r="AG2" i="5"/>
  <c r="AE5" i="5"/>
  <c r="AD29" i="5"/>
  <c r="V29" i="2"/>
  <c r="C38" i="2"/>
  <c r="D38" i="2" s="1"/>
  <c r="D40" i="2" s="1"/>
  <c r="P6" i="1"/>
  <c r="Q6" i="1" s="1"/>
  <c r="R6" i="1" s="1"/>
  <c r="S6" i="1" s="1"/>
  <c r="AE29" i="5" l="1"/>
  <c r="AF5" i="5"/>
  <c r="V6" i="1"/>
  <c r="S29" i="1"/>
  <c r="V29" i="1" s="1"/>
  <c r="AG5" i="5" l="1"/>
  <c r="AF29" i="5"/>
  <c r="AG29" i="5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<sst xmlns="http://schemas.openxmlformats.org/spreadsheetml/2006/main" count="1443" uniqueCount="360">
  <si>
    <t>Symbol</t>
  </si>
  <si>
    <t>5 OAK</t>
  </si>
  <si>
    <t>4 OAK</t>
  </si>
  <si>
    <t>3 OAK</t>
  </si>
  <si>
    <t>H1</t>
  </si>
  <si>
    <t>H2</t>
  </si>
  <si>
    <t>H3</t>
  </si>
  <si>
    <t>H4</t>
  </si>
  <si>
    <t>L1</t>
  </si>
  <si>
    <t>L2</t>
  </si>
  <si>
    <t>L3</t>
  </si>
  <si>
    <t>L4</t>
  </si>
  <si>
    <t>L5</t>
  </si>
  <si>
    <t>Symbol Set Population</t>
  </si>
  <si>
    <t>BaseRS11R0</t>
  </si>
  <si>
    <t>BaseRS11R1</t>
  </si>
  <si>
    <t>BaseRS11R2</t>
  </si>
  <si>
    <t>BaseRS11R3</t>
  </si>
  <si>
    <t>BaseRS11R4</t>
  </si>
  <si>
    <t>WD</t>
  </si>
  <si>
    <t>SC</t>
  </si>
  <si>
    <t>RS</t>
  </si>
  <si>
    <t>Total</t>
  </si>
  <si>
    <t>Prize</t>
  </si>
  <si>
    <t>R1</t>
  </si>
  <si>
    <t>R2</t>
  </si>
  <si>
    <t>R3</t>
  </si>
  <si>
    <t>R4</t>
  </si>
  <si>
    <t>R5</t>
  </si>
  <si>
    <t>5xH1</t>
  </si>
  <si>
    <t>Total Lines</t>
  </si>
  <si>
    <t>HITS</t>
  </si>
  <si>
    <t>RTP(%)</t>
  </si>
  <si>
    <t>Total Cycles</t>
  </si>
  <si>
    <t>Wage</t>
  </si>
  <si>
    <t>RTP(%) 1c</t>
  </si>
  <si>
    <t>4xH1</t>
  </si>
  <si>
    <t>3xH1</t>
  </si>
  <si>
    <t>5xH2</t>
  </si>
  <si>
    <t>4xH2</t>
  </si>
  <si>
    <t>3xH2</t>
  </si>
  <si>
    <t>5xH3</t>
  </si>
  <si>
    <t>4xH3</t>
  </si>
  <si>
    <t>3xH3</t>
  </si>
  <si>
    <t>5xH4</t>
  </si>
  <si>
    <t>4xH4</t>
  </si>
  <si>
    <t>3xH4</t>
  </si>
  <si>
    <t>5xL1</t>
  </si>
  <si>
    <t>4xL1</t>
  </si>
  <si>
    <t>3xL1</t>
  </si>
  <si>
    <t>5xL2</t>
  </si>
  <si>
    <t>4xL2</t>
  </si>
  <si>
    <t>3xL2</t>
  </si>
  <si>
    <t>5xL3</t>
  </si>
  <si>
    <t>4xL3</t>
  </si>
  <si>
    <t>3xL3</t>
  </si>
  <si>
    <t>5xL4</t>
  </si>
  <si>
    <t>4xL4</t>
  </si>
  <si>
    <t>3xL4</t>
  </si>
  <si>
    <t>5xL5</t>
  </si>
  <si>
    <t>4xL5</t>
  </si>
  <si>
    <t>3xL5</t>
  </si>
  <si>
    <t>Hit Rate</t>
  </si>
  <si>
    <t>Total Hit Rate</t>
  </si>
  <si>
    <t>Sim RTP</t>
  </si>
  <si>
    <t>Delta</t>
  </si>
  <si>
    <t>Choices</t>
  </si>
  <si>
    <t>RTP</t>
  </si>
  <si>
    <t>Collect</t>
  </si>
  <si>
    <t>Coin</t>
  </si>
  <si>
    <t>Res1</t>
  </si>
  <si>
    <t>H1,H1,RS,Any,Any</t>
  </si>
  <si>
    <t>H2,H2,RS,Any,Any</t>
  </si>
  <si>
    <t>H3,H3,RS,Any,Any</t>
  </si>
  <si>
    <t>H4,H4,RS,Any,Any</t>
  </si>
  <si>
    <t>L1,L1,RS,Any,Any</t>
  </si>
  <si>
    <t>L2,L2,RS,Any,Any</t>
  </si>
  <si>
    <t>L3,L3,RS,Any,Any</t>
  </si>
  <si>
    <t>L4,L4,RS,Any,Any</t>
  </si>
  <si>
    <t>L5,L5,RS,Any,Any</t>
  </si>
  <si>
    <t>Prob</t>
  </si>
  <si>
    <t>Weight</t>
  </si>
  <si>
    <t>Rtp</t>
  </si>
  <si>
    <t>Prize With RS</t>
  </si>
  <si>
    <t>Prize SC</t>
  </si>
  <si>
    <t>3xSC</t>
  </si>
  <si>
    <t>SC,RS,SC</t>
  </si>
  <si>
    <t>Prize SC with RS</t>
  </si>
  <si>
    <t>Hit Both</t>
  </si>
  <si>
    <t>Jackpot</t>
  </si>
  <si>
    <t>Name</t>
  </si>
  <si>
    <t>MEGA</t>
  </si>
  <si>
    <t>MAJOR</t>
  </si>
  <si>
    <t>MINOR</t>
  </si>
  <si>
    <t>MAXI</t>
  </si>
  <si>
    <t>MINI</t>
  </si>
  <si>
    <t>CompositeRS</t>
  </si>
  <si>
    <t>Scatter Win with RS</t>
  </si>
  <si>
    <t>Line Win with RS</t>
  </si>
  <si>
    <t>Normal Win Total RTP</t>
  </si>
  <si>
    <t>RS Win Total RTP</t>
  </si>
  <si>
    <t>Composite RTP</t>
  </si>
  <si>
    <t>Chance of RS</t>
  </si>
  <si>
    <t>No ScatterWinWith RS</t>
  </si>
  <si>
    <t>No LineWinWith RS</t>
  </si>
  <si>
    <t>Digger Averge Pay</t>
  </si>
  <si>
    <t>case 1</t>
  </si>
  <si>
    <t>case 2</t>
  </si>
  <si>
    <t>Can't cal prob of None Line RS and Scatter RS case, abort</t>
  </si>
  <si>
    <t>Paytable Win RS</t>
  </si>
  <si>
    <t>RS Instant Win</t>
  </si>
  <si>
    <t>Prob 2</t>
  </si>
  <si>
    <t>Weights</t>
  </si>
  <si>
    <t>Averge Total Coin Prizes</t>
  </si>
  <si>
    <t>Number Coins</t>
  </si>
  <si>
    <t>Probs</t>
  </si>
  <si>
    <t>Average Coins</t>
  </si>
  <si>
    <t>oin Prize</t>
  </si>
  <si>
    <t>H1,RS,H1,H1,H1</t>
  </si>
  <si>
    <t>H1,H1,RS,H1,H1</t>
  </si>
  <si>
    <t>H1,H1,H1,RS,H1</t>
  </si>
  <si>
    <t>H1,RS,RS,H1,H1</t>
  </si>
  <si>
    <t>H1,RS,H1,RS,H1</t>
  </si>
  <si>
    <t>H1,H1,RS,RS,H1</t>
  </si>
  <si>
    <t>H1,RS,RS,RS,H1</t>
  </si>
  <si>
    <t>H1,RS,H1,H1,!H1</t>
  </si>
  <si>
    <t>H1,H1,RS,H1,!H1</t>
  </si>
  <si>
    <t>H1,H1,H1,RS,!H1</t>
  </si>
  <si>
    <t>H1,RS,RS,H1,!H1</t>
  </si>
  <si>
    <t>H1,RS,H1,RS,!H1</t>
  </si>
  <si>
    <t>H1,H1,RS,RS,!H1</t>
  </si>
  <si>
    <t>H1,RS,RS,RS,!H1</t>
  </si>
  <si>
    <t>H1,RS,H1,!H1!RS,Any</t>
  </si>
  <si>
    <t>H1,H1,RS,!H1!RS,Any</t>
  </si>
  <si>
    <t>H1,RS,RS,!H1!RS,Any</t>
  </si>
  <si>
    <t>H2,H2,RS,H2,H2</t>
  </si>
  <si>
    <t>H2,H2,H2,RS,H2</t>
  </si>
  <si>
    <t>H2,RS,RS,H2,H2</t>
  </si>
  <si>
    <t>H2,RS,H2,RS,H2</t>
  </si>
  <si>
    <t>H2,H2,RS,RS,H2</t>
  </si>
  <si>
    <t>H2,RS,RS,RS,H2</t>
  </si>
  <si>
    <t>H2,RS,H2,H2,!H2</t>
  </si>
  <si>
    <t>H2,H2,RS,H2,!H2</t>
  </si>
  <si>
    <t>H2,H2,H2,RS,!H2</t>
  </si>
  <si>
    <t>H2,RS,RS,H2,!H2</t>
  </si>
  <si>
    <t>H2,RS,H2,RS,!H2</t>
  </si>
  <si>
    <t>H2,H2,RS,RS,!H2</t>
  </si>
  <si>
    <t>H2,RS,RS,RS,!H2</t>
  </si>
  <si>
    <t>H2,RS,H2,!H2!RS,Any</t>
  </si>
  <si>
    <t>H2,H2,RS,!H2!RS,Any</t>
  </si>
  <si>
    <t>H2,RS,RS,!H2!RS,Any</t>
  </si>
  <si>
    <t>H2,RS,H2,H2,H2</t>
  </si>
  <si>
    <t>H3,RS,H3,H3,H3</t>
  </si>
  <si>
    <t>H3,H3,RS,H3,H3</t>
  </si>
  <si>
    <t>H3,H3,H3,RS,H3</t>
  </si>
  <si>
    <t>H3,RS,RS,H3,H3</t>
  </si>
  <si>
    <t>H3,RS,H3,RS,H3</t>
  </si>
  <si>
    <t>H3,H3,RS,RS,H3</t>
  </si>
  <si>
    <t>H3,RS,RS,RS,H3</t>
  </si>
  <si>
    <t>H3,RS,H3,H3,!H3</t>
  </si>
  <si>
    <t>H3,H3,RS,H3,!H3</t>
  </si>
  <si>
    <t>H3,H3,H3,RS,!H3</t>
  </si>
  <si>
    <t>H3,RS,RS,H3,!H3</t>
  </si>
  <si>
    <t>H3,RS,H3,RS,!H3</t>
  </si>
  <si>
    <t>H3,H3,RS,RS,!H3</t>
  </si>
  <si>
    <t>H3,RS,RS,RS,!H3</t>
  </si>
  <si>
    <t>H3,RS,H3,!H3!RS,Any</t>
  </si>
  <si>
    <t>H3,H3,RS,!H3!RS,Any</t>
  </si>
  <si>
    <t>H3,RS,RS,!H3!RS,Any</t>
  </si>
  <si>
    <t>H4,RS,H4,H4,H4</t>
  </si>
  <si>
    <t>H4,H4,RS,H4,H4</t>
  </si>
  <si>
    <t>H4,H4,H4,RS,H4</t>
  </si>
  <si>
    <t>H4,RS,H4,RS,H4</t>
  </si>
  <si>
    <t>H4,H4,RS,RS,H4</t>
  </si>
  <si>
    <t>H4,RS,RS,RS,H4</t>
  </si>
  <si>
    <t>H4,RS,H4,H4,!H4</t>
  </si>
  <si>
    <t>H4,H4,RS,H4,!H4</t>
  </si>
  <si>
    <t>H4,H4,H4,RS,!H4</t>
  </si>
  <si>
    <t>H4,RS,RS,H4,!H4</t>
  </si>
  <si>
    <t>H4,RS,H4,RS,!H4</t>
  </si>
  <si>
    <t>H4,H4,RS,RS,!H4</t>
  </si>
  <si>
    <t>H4,RS,RS,RS,!H4</t>
  </si>
  <si>
    <t>H4,RS,H4,!H4!RS,Any</t>
  </si>
  <si>
    <t>H4,H4,RS,!H4!RS,Any</t>
  </si>
  <si>
    <t>H4,RS,RS,!H4!RS,Any</t>
  </si>
  <si>
    <t>H4,RS,RS,H4,H4</t>
  </si>
  <si>
    <t>L1,L1,RS,L1,L1</t>
  </si>
  <si>
    <t>L1,L1,L1,RS,L1</t>
  </si>
  <si>
    <t>L1,RS,RS,L1,L1</t>
  </si>
  <si>
    <t>L1,RS,L1,RS,L1</t>
  </si>
  <si>
    <t>L1,L1,RS,RS,L1</t>
  </si>
  <si>
    <t>L1,RS,RS,RS,L1</t>
  </si>
  <si>
    <t>L1,RS,L1,L1,!L1</t>
  </si>
  <si>
    <t>L1,L1,RS,L1,!L1</t>
  </si>
  <si>
    <t>L1,L1,L1,RS,!L1</t>
  </si>
  <si>
    <t>L1,RS,RS,L1,!L1</t>
  </si>
  <si>
    <t>L1,RS,L1,RS,!L1</t>
  </si>
  <si>
    <t>L1,L1,RS,RS,!L1</t>
  </si>
  <si>
    <t>L1,RS,RS,RS,!L1</t>
  </si>
  <si>
    <t>L1,RS,L1,!L1!RS,Any</t>
  </si>
  <si>
    <t>L1,L1,RS,!L1!RS,Any</t>
  </si>
  <si>
    <t>L1,RS,RS,!L1!RS,Any</t>
  </si>
  <si>
    <t>L1,RS,L1,L1,L1</t>
  </si>
  <si>
    <t>L2,RS,L2,L2,L2</t>
  </si>
  <si>
    <t>L2,L2,RS,L2,L2</t>
  </si>
  <si>
    <t>L2,L2,L2,RS,L2</t>
  </si>
  <si>
    <t>L2,RS,RS,L2,L2</t>
  </si>
  <si>
    <t>L2,RS,L2,RS,L2</t>
  </si>
  <si>
    <t>L2,L2,RS,RS,L2</t>
  </si>
  <si>
    <t>L2,RS,RS,RS,L2</t>
  </si>
  <si>
    <t>L2,RS,L2,L2,!L2</t>
  </si>
  <si>
    <t>L2,L2,RS,L2,!L2</t>
  </si>
  <si>
    <t>L2,L2,L2,RS,!L2</t>
  </si>
  <si>
    <t>L2,RS,RS,L2,!L2</t>
  </si>
  <si>
    <t>L2,RS,L2,RS,!L2</t>
  </si>
  <si>
    <t>L2,L2,RS,RS,!L2</t>
  </si>
  <si>
    <t>L2,RS,RS,RS,!L2</t>
  </si>
  <si>
    <t>L2,RS,L2,!L2!RS,Any</t>
  </si>
  <si>
    <t>L2,L2,RS,!L2!RS,Any</t>
  </si>
  <si>
    <t>L2,RS,RS,!L2!RS,Any</t>
  </si>
  <si>
    <t>L3,RS,L3,L3,L3</t>
  </si>
  <si>
    <t>L3,L3,RS,L3,L3</t>
  </si>
  <si>
    <t>L3,L3,L3,RS,L3</t>
  </si>
  <si>
    <t>L3,RS,RS,L3,L3</t>
  </si>
  <si>
    <t>L3,RS,L3,RS,L3</t>
  </si>
  <si>
    <t>L3,L3,RS,RS,L3</t>
  </si>
  <si>
    <t>L3,RS,RS,RS,L3</t>
  </si>
  <si>
    <t>L3,RS,L3,L3,!L3</t>
  </si>
  <si>
    <t>L3,L3,RS,L3,!L3</t>
  </si>
  <si>
    <t>L3,L3,L3,RS,!L3</t>
  </si>
  <si>
    <t>L3,RS,RS,L3,!L3</t>
  </si>
  <si>
    <t>L3,RS,L3,RS,!L3</t>
  </si>
  <si>
    <t>L3,L3,RS,RS,!L3</t>
  </si>
  <si>
    <t>L3,RS,RS,RS,!L3</t>
  </si>
  <si>
    <t>L3,RS,L3,!L3!RS,Any</t>
  </si>
  <si>
    <t>L3,L3,RS,!L3!RS,Any</t>
  </si>
  <si>
    <t>L3,RS,RS,!L3!RS,Any</t>
  </si>
  <si>
    <t>L4,RS,L4,L4,L4</t>
  </si>
  <si>
    <t>L4,L4,RS,L4,L4</t>
  </si>
  <si>
    <t>L4,L4,L4,RS,L4</t>
  </si>
  <si>
    <t>L4,RS,RS,L4,L4</t>
  </si>
  <si>
    <t>L4,RS,L4,RS,L4</t>
  </si>
  <si>
    <t>L4,L4,RS,RS,L4</t>
  </si>
  <si>
    <t>L4,RS,RS,RS,L4</t>
  </si>
  <si>
    <t>L4,RS,L4,L4,!L4</t>
  </si>
  <si>
    <t>L4,L4,RS,L4,!L4</t>
  </si>
  <si>
    <t>L4,L4,L4,RS,!L4</t>
  </si>
  <si>
    <t>L4,RS,RS,L4,!L4</t>
  </si>
  <si>
    <t>L4,RS,L4,RS,!L4</t>
  </si>
  <si>
    <t>L4,L4,RS,RS,!L4</t>
  </si>
  <si>
    <t>L4,RS,RS,RS,!L4</t>
  </si>
  <si>
    <t>L4,RS,L4,!L4!RS,Any</t>
  </si>
  <si>
    <t>L4,L4,RS,!L4!RS,Any</t>
  </si>
  <si>
    <t>L4,RS,RS,!L4!RS,Any</t>
  </si>
  <si>
    <t>L5,RS,L5,L5,L5</t>
  </si>
  <si>
    <t>L5,L5,RS,L5,L5</t>
  </si>
  <si>
    <t>L5,L5,L5,RS,L5</t>
  </si>
  <si>
    <t>L5,RS,RS,L5,L5</t>
  </si>
  <si>
    <t>L5,RS,L5,RS,L5</t>
  </si>
  <si>
    <t>L5,L5,RS,RS,L5</t>
  </si>
  <si>
    <t>L5,RS,RS,RS,L5</t>
  </si>
  <si>
    <t>L5,RS,L5,L5,!L5</t>
  </si>
  <si>
    <t>L5,L5,RS,L5,!L5</t>
  </si>
  <si>
    <t>L5,L5,L5,RS,!L5</t>
  </si>
  <si>
    <t>L5,RS,RS,L5,!L5</t>
  </si>
  <si>
    <t>L5,RS,L5,RS,!L5</t>
  </si>
  <si>
    <t>L5,L5,RS,RS,!L5</t>
  </si>
  <si>
    <t>L5,RS,RS,RS,!L5</t>
  </si>
  <si>
    <t>L5,RS,L5,!L5!RS,Any</t>
  </si>
  <si>
    <t>L5,L5,RS,!L5!RS,Any</t>
  </si>
  <si>
    <t>L5,RS,RS,!L5!RS,Any</t>
  </si>
  <si>
    <t>Prize + RS</t>
  </si>
  <si>
    <t>Prize SC+RS</t>
  </si>
  <si>
    <t>RS,RS,RS</t>
  </si>
  <si>
    <t>Convert Rate</t>
  </si>
  <si>
    <t>SC.SC,SC</t>
  </si>
  <si>
    <t>RS,RS,SC</t>
  </si>
  <si>
    <t>SC,RS,RS</t>
  </si>
  <si>
    <t>Line Win</t>
  </si>
  <si>
    <t>Line Win (RS)</t>
  </si>
  <si>
    <t>Scatter</t>
  </si>
  <si>
    <t>Scatter (RS)</t>
  </si>
  <si>
    <t>Instant Win (RS)</t>
  </si>
  <si>
    <t>5xWD</t>
  </si>
  <si>
    <t>4xWD</t>
  </si>
  <si>
    <t>3xWD</t>
  </si>
  <si>
    <t>HITS Adj</t>
  </si>
  <si>
    <t>3xWD,!H1</t>
  </si>
  <si>
    <t>4XH1,!H1</t>
  </si>
  <si>
    <t>3xWD,!H2</t>
  </si>
  <si>
    <t>4XWD,!H2</t>
  </si>
  <si>
    <t>4XH3,!H3</t>
  </si>
  <si>
    <t>3xWD,!H3</t>
  </si>
  <si>
    <t>4XH4,!H4</t>
  </si>
  <si>
    <t>3xWD,!H4</t>
  </si>
  <si>
    <t>4XL1,!L1</t>
  </si>
  <si>
    <t>3xWD,!L1</t>
  </si>
  <si>
    <t>4XL2,!L2</t>
  </si>
  <si>
    <t>3xWD,!L2</t>
  </si>
  <si>
    <t>4XL3,!L3</t>
  </si>
  <si>
    <t>3xWD,!L3</t>
  </si>
  <si>
    <t>4XL4,!L4</t>
  </si>
  <si>
    <t>3xWD,!L4</t>
  </si>
  <si>
    <t>4XL5,!L5</t>
  </si>
  <si>
    <t>3xWD,!L5</t>
  </si>
  <si>
    <t>5xSC</t>
  </si>
  <si>
    <t>SC,SC,SC,SC,*</t>
  </si>
  <si>
    <t>SC,SC,SC,*,SC</t>
  </si>
  <si>
    <t>SC,SC,*,SC,SC</t>
  </si>
  <si>
    <t>SC,*SC,SC,SC</t>
  </si>
  <si>
    <t>*,SC,SC,SC,SC</t>
  </si>
  <si>
    <t>NumRows</t>
  </si>
  <si>
    <t>SC,SC,SC,*,*</t>
  </si>
  <si>
    <t>SC,SC,*,SC,*</t>
  </si>
  <si>
    <t>SC,*,SC,SC,*</t>
  </si>
  <si>
    <t>*SC,SC,SC,SC,*</t>
  </si>
  <si>
    <t>SC,SC,*,*,SC</t>
  </si>
  <si>
    <t>SC,*,SC,*,SC</t>
  </si>
  <si>
    <t>*,SC,SC,*,SC</t>
  </si>
  <si>
    <t>SC,*,*,SC,SC</t>
  </si>
  <si>
    <t>*,SC,*,SC,SC</t>
  </si>
  <si>
    <t>*,*,SC,SC,SC</t>
  </si>
  <si>
    <t>Std SC</t>
  </si>
  <si>
    <t>Std Line</t>
  </si>
  <si>
    <t>RS to wild Prob</t>
  </si>
  <si>
    <t>W,W,W,W,W</t>
  </si>
  <si>
    <t>RS to WD cases</t>
  </si>
  <si>
    <t>*.*.*.*.*</t>
  </si>
  <si>
    <t>* , * , * , W , W</t>
  </si>
  <si>
    <t>* , * , W , * , W</t>
  </si>
  <si>
    <t>* , * , W , W , *</t>
  </si>
  <si>
    <t>* , W , * , * , W</t>
  </si>
  <si>
    <t>* , W , * , W , *</t>
  </si>
  <si>
    <t>* , W , W , * , *</t>
  </si>
  <si>
    <t>W , * , * , * , W</t>
  </si>
  <si>
    <t>W , * , * , W , *</t>
  </si>
  <si>
    <t>W , * , W , * , *</t>
  </si>
  <si>
    <t>W , W , * , * , *</t>
  </si>
  <si>
    <t>* , * , W , W , W</t>
  </si>
  <si>
    <t>* , W , * , W , W</t>
  </si>
  <si>
    <t>* , W , W , * , W</t>
  </si>
  <si>
    <t>* , W , W , W , *</t>
  </si>
  <si>
    <t>W , * , * , W , W</t>
  </si>
  <si>
    <t>W , * , W , * , W</t>
  </si>
  <si>
    <t>W , * , W , W , *</t>
  </si>
  <si>
    <t>W , W , * , * , W</t>
  </si>
  <si>
    <t>W , W , * , W , *</t>
  </si>
  <si>
    <t>W , W , W , * , *</t>
  </si>
  <si>
    <t>* , W , W , W , W</t>
  </si>
  <si>
    <t>W , * , W , W , W</t>
  </si>
  <si>
    <t>W , W , * , W , W</t>
  </si>
  <si>
    <t>W , W , W , * , W</t>
  </si>
  <si>
    <t>W , W , W , W , *</t>
  </si>
  <si>
    <t>* , * , * , * , W</t>
  </si>
  <si>
    <t>* , * , * , W , *</t>
  </si>
  <si>
    <t>* , * , W , * , *</t>
  </si>
  <si>
    <t>* , W , * , * , *</t>
  </si>
  <si>
    <t>W , * , * , * , *</t>
  </si>
  <si>
    <t>Hit</t>
  </si>
  <si>
    <t>Miss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</si>
</sst>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0%"/>
    <numFmt numFmtId="165" formatCode="0.000000%"/>
    <numFmt numFmtId="166" formatCode="0.0000"/>
    <numFmt numFmtId="167" formatCode="0.000000"/>
    <numFmt numFmtId="168" formatCode="0.00000000000000%"/>
    <numFmt numFmtId="169" formatCode="0.00000000000000000%"/>
    <numFmt numFmtId="170" formatCode="#0.000000%"/>
    <numFmt numFmtId="171" formatCode="0.000000000000000%"/>
    <numFmt numFmtId="172" formatCode="0.0000000000%"/>
  </numFmts>
  <fonts count="9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0" xfId="0" applyFont="1" applyFill="1"/>
    <xf numFmtId="2" fontId="0" fillId="0" borderId="0" xfId="0" applyNumberFormat="1"/>
    <xf numFmtId="0" fontId="2" fillId="3" borderId="0" xfId="0" applyFont="1" applyFill="1"/>
    <xf numFmtId="0" fontId="4" fillId="2" borderId="0" xfId="0" applyFont="1" applyFill="1"/>
    <xf numFmtId="0" fontId="0" fillId="0" borderId="0" xfId="0" applyAlignment="1">
      <alignment horizontal="right"/>
    </xf>
    <xf numFmtId="3" fontId="0" fillId="0" borderId="0" xfId="0" applyNumberFormat="1"/>
    <xf numFmtId="164" fontId="0" fillId="0" borderId="0" xfId="0" applyNumberFormat="1"/>
    <xf numFmtId="0" fontId="0" fillId="4" borderId="0" xfId="0" applyFill="1"/>
    <xf numFmtId="164" fontId="0" fillId="4" borderId="0" xfId="0" applyNumberFormat="1" applyFill="1"/>
    <xf numFmtId="165" fontId="0" fillId="0" borderId="0" xfId="0" applyNumberFormat="1"/>
    <xf numFmtId="0" fontId="4" fillId="0" borderId="0" xfId="0" applyFont="1"/>
    <xf numFmtId="0" fontId="3" fillId="4" borderId="0" xfId="0" applyFont="1" applyFill="1"/>
    <xf numFmtId="166" fontId="0" fillId="0" borderId="0" xfId="0" applyNumberFormat="1"/>
    <xf numFmtId="167" fontId="0" fillId="4" borderId="0" xfId="0" applyNumberFormat="1" applyFill="1"/>
    <xf numFmtId="167" fontId="0" fillId="0" borderId="0" xfId="0" applyNumberFormat="1"/>
    <xf numFmtId="0" fontId="0" fillId="0" borderId="1" xfId="0" applyBorder="1"/>
    <xf numFmtId="0" fontId="0" fillId="5" borderId="0" xfId="0" applyFill="1"/>
    <xf numFmtId="168" fontId="0" fillId="0" borderId="0" xfId="0" applyNumberFormat="1"/>
    <xf numFmtId="169" fontId="0" fillId="0" borderId="0" xfId="0" applyNumberFormat="1"/>
    <xf numFmtId="0" fontId="5" fillId="0" borderId="0" xfId="0" applyFont="1"/>
    <xf numFmtId="168" fontId="0" fillId="4" borderId="0" xfId="0" applyNumberFormat="1" applyFill="1"/>
    <xf numFmtId="165" fontId="0" fillId="4" borderId="0" xfId="0" applyNumberFormat="1" applyFill="1"/>
    <xf numFmtId="0" fontId="6" fillId="0" borderId="0" xfId="0" applyFont="1"/>
    <xf numFmtId="0" fontId="0" fillId="3" borderId="0" xfId="0" applyFill="1"/>
    <xf numFmtId="0" fontId="2" fillId="3" borderId="0" xfId="0" applyFont="1" applyFill="1" applyAlignment="1">
      <alignment horizontal="center" wrapText="1"/>
    </xf>
    <xf numFmtId="2" fontId="7" fillId="0" borderId="0" xfId="0" applyNumberFormat="1" applyFont="1" applyAlignment="1">
      <alignment vertical="center" wrapText="1"/>
    </xf>
    <xf numFmtId="0" fontId="7" fillId="0" borderId="0" xfId="0" applyFont="1"/>
    <xf numFmtId="2" fontId="7" fillId="0" borderId="0" xfId="0" applyNumberFormat="1" applyFont="1"/>
    <xf numFmtId="0" fontId="3" fillId="6" borderId="0" xfId="0" applyFont="1" applyFill="1"/>
    <xf numFmtId="0" fontId="0" fillId="6" borderId="0" xfId="0" applyFill="1"/>
    <xf numFmtId="167" fontId="0" fillId="6" borderId="0" xfId="0" applyNumberFormat="1" applyFill="1"/>
    <xf numFmtId="165" fontId="0" fillId="6" borderId="0" xfId="0" applyNumberFormat="1" applyFill="1"/>
    <xf numFmtId="164" fontId="0" fillId="6" borderId="0" xfId="0" applyNumberFormat="1" applyFill="1"/>
    <xf numFmtId="0" fontId="5" fillId="4" borderId="0" xfId="0" applyFont="1" applyFill="1"/>
    <xf numFmtId="0" fontId="6" fillId="4" borderId="0" xfId="0" applyFont="1" applyFill="1"/>
    <xf numFmtId="164" fontId="0" fillId="5" borderId="0" xfId="0" applyNumberFormat="1" applyFill="1"/>
    <xf numFmtId="0" fontId="7" fillId="6" borderId="0" xfId="0" applyFont="1" applyFill="1"/>
    <xf numFmtId="164" fontId="7" fillId="6" borderId="0" xfId="0" applyNumberFormat="1" applyFont="1" applyFill="1"/>
    <xf numFmtId="0" fontId="1" fillId="0" borderId="0" xfId="0" applyFont="1"/>
    <xf numFmtId="0" fontId="0" fillId="7" borderId="0" xfId="0" applyFill="1"/>
    <xf numFmtId="0" fontId="3" fillId="0" borderId="0" xfId="0" applyFont="1"/>
    <xf numFmtId="170" fontId="0" fillId="0" borderId="0" xfId="0" applyNumberFormat="1"/>
    <xf numFmtId="0" fontId="7" fillId="4" borderId="0" xfId="0" applyFont="1" applyFill="1"/>
    <xf numFmtId="2" fontId="0" fillId="4" borderId="0" xfId="0" applyNumberFormat="1" applyFill="1"/>
    <xf numFmtId="1" fontId="0" fillId="0" borderId="0" xfId="0" applyNumberFormat="1"/>
    <xf numFmtId="170" fontId="0" fillId="4" borderId="0" xfId="0" applyNumberFormat="1" applyFill="1"/>
    <xf numFmtId="1" fontId="0" fillId="4" borderId="0" xfId="0" applyNumberFormat="1" applyFill="1"/>
    <xf numFmtId="171" fontId="0" fillId="4" borderId="0" xfId="0" applyNumberFormat="1" applyFill="1"/>
    <xf numFmtId="0" fontId="8" fillId="0" borderId="0" xfId="0" applyFont="1"/>
    <xf numFmtId="172" fontId="2" fillId="3" borderId="0" xfId="0" applyNumberFormat="1" applyFont="1" applyFill="1"/>
    <xf numFmtId="172" fontId="0" fillId="0" borderId="0" xfId="0" applyNumberFormat="1"/>
    <xf numFmtId="172" fontId="0" fillId="4" borderId="0" xfId="0" applyNumberFormat="1" applyFill="1"/>
    <xf numFmtId="0" fontId="1" fillId="2" borderId="0" xfId="0" applyFont="1" applyFill="1" applyAlignment="1">
      <alignment horizontal="center"/>
    </xf>
    <xf numFmtId="3" fontId="0" fillId="0" borderId="0" xfId="0" applyNumberFormat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7"/>
  <sheetViews>
    <sheetView workbookViewId="0">
      <selection activeCell="D4" sqref="D4"/>
    </sheetView>
  </sheetViews>
  <sheetFormatPr defaultRowHeight="14.5"/>
  <cols>
    <col min="1" max="1" width="10.6328125" customWidth="1"/>
    <col min="2" max="2" width="10.7265625" bestFit="1" customWidth="1"/>
    <col min="8" max="8" width="9.54296875" customWidth="1"/>
    <col min="16" max="16" width="12.81640625" customWidth="1"/>
    <col min="17" max="17" width="13.81640625" customWidth="1"/>
    <col min="18" max="18" width="14.453125" customWidth="1"/>
    <col min="19" max="19" width="14.26953125" customWidth="1"/>
    <col min="20" max="20" width="29.453125" customWidth="1"/>
    <col min="21" max="21" width="9.81640625" bestFit="1" customWidth="1"/>
    <col min="22" max="22" width="15.81640625" customWidth="1"/>
    <col min="23" max="23" width="9.453125" bestFit="1" customWidth="1"/>
  </cols>
  <sheetData>
    <row r="1" spans="1:23">
      <c r="A1" s="53" t="s">
        <v>13</v>
      </c>
      <c r="B1" s="53" t="s">
        <v>13</v>
      </c>
      <c r="C1" s="53" t="s">
        <v>13</v>
      </c>
      <c r="D1" s="53" t="s">
        <v>13</v>
      </c>
      <c r="E1" s="53" t="s">
        <v>13</v>
      </c>
      <c r="F1" s="53" t="s">
        <v>13</v>
      </c>
      <c r="I1" s="3" t="s">
        <v>23</v>
      </c>
      <c r="J1" s="3" t="s">
        <v>24</v>
      </c>
      <c r="K1" s="3" t="s">
        <v>25</v>
      </c>
      <c r="L1" s="3" t="s">
        <v>26</v>
      </c>
      <c r="M1" s="3" t="s">
        <v>27</v>
      </c>
      <c r="N1" s="3" t="s">
        <v>28</v>
      </c>
      <c r="O1" s="3" t="s">
        <v>31</v>
      </c>
      <c r="P1" s="3" t="s">
        <v>62</v>
      </c>
      <c r="Q1" s="3" t="s">
        <v>63</v>
      </c>
      <c r="R1" s="3" t="s">
        <v>32</v>
      </c>
      <c r="S1" s="3" t="s">
        <v>35</v>
      </c>
      <c r="U1" s="3" t="s">
        <v>64</v>
      </c>
      <c r="V1" s="3" t="s">
        <v>65</v>
      </c>
    </row>
    <row r="2" spans="1:23">
      <c r="A2" s="1" t="s">
        <v>0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I2" s="12" t="s">
        <v>29</v>
      </c>
      <c r="J2" s="8">
        <f>B3+B4</f>
        <v>2</v>
      </c>
      <c r="K2" s="8">
        <f t="shared" ref="K2:N2" si="0">C3+C4</f>
        <v>1</v>
      </c>
      <c r="L2" s="8">
        <f t="shared" si="0"/>
        <v>35</v>
      </c>
      <c r="M2" s="8">
        <f t="shared" si="0"/>
        <v>32</v>
      </c>
      <c r="N2" s="8">
        <f t="shared" si="0"/>
        <v>3</v>
      </c>
      <c r="O2" s="8">
        <f>PRODUCT(J2:N2)</f>
        <v>6720</v>
      </c>
      <c r="P2" s="9">
        <f>O2/$B$16</f>
        <v>5.6367243867243867E-5</v>
      </c>
      <c r="Q2" s="9">
        <f>P2*$A$19</f>
        <v>1.1273448773448773E-3</v>
      </c>
      <c r="R2" s="9">
        <f>Q2*B22</f>
        <v>8.4550865800865793E-2</v>
      </c>
      <c r="S2" s="9">
        <f>R2/$B$19</f>
        <v>8.45508658008658E-3</v>
      </c>
      <c r="U2" s="7">
        <v>8.3604000000000005E-3</v>
      </c>
      <c r="V2" s="10">
        <f>S2-U2</f>
        <v>9.4686580086579542E-5</v>
      </c>
      <c r="W2" s="7"/>
    </row>
    <row r="3" spans="1:23">
      <c r="A3" t="s">
        <v>19</v>
      </c>
      <c r="B3">
        <v>0</v>
      </c>
      <c r="C3">
        <v>1</v>
      </c>
      <c r="D3">
        <v>29</v>
      </c>
      <c r="E3">
        <v>28</v>
      </c>
      <c r="F3">
        <v>0</v>
      </c>
      <c r="I3" t="s">
        <v>36</v>
      </c>
      <c r="J3">
        <f>J2</f>
        <v>2</v>
      </c>
      <c r="K3">
        <f t="shared" ref="K3:M3" si="1">K2</f>
        <v>1</v>
      </c>
      <c r="L3">
        <f t="shared" si="1"/>
        <v>35</v>
      </c>
      <c r="M3">
        <f t="shared" si="1"/>
        <v>32</v>
      </c>
      <c r="N3">
        <f>F15-N2</f>
        <v>45</v>
      </c>
      <c r="O3">
        <f>PRODUCT(J3:N3)</f>
        <v>100800</v>
      </c>
      <c r="P3" s="7">
        <f t="shared" ref="P3:P28" si="2">O3/$B$16</f>
        <v>8.45508658008658E-4</v>
      </c>
      <c r="Q3" s="7">
        <f t="shared" ref="Q3:Q28" si="3">P3*$A$19</f>
        <v>1.691017316017316E-2</v>
      </c>
      <c r="R3" s="7">
        <f>Q3*C22</f>
        <v>0.42275432900432902</v>
      </c>
      <c r="S3" s="7">
        <f t="shared" ref="S3:S28" si="4">R3/$B$19</f>
        <v>4.2275432900432904E-2</v>
      </c>
      <c r="U3" s="7">
        <v>4.1926024999999999E-2</v>
      </c>
      <c r="V3" s="10">
        <f t="shared" ref="V3:V29" si="5">S3-U3</f>
        <v>3.4940790043290482E-4</v>
      </c>
      <c r="W3" s="7"/>
    </row>
    <row r="4" spans="1:23">
      <c r="A4" t="s">
        <v>4</v>
      </c>
      <c r="B4">
        <v>2</v>
      </c>
      <c r="C4">
        <v>0</v>
      </c>
      <c r="D4">
        <v>6</v>
      </c>
      <c r="E4">
        <v>4</v>
      </c>
      <c r="F4">
        <v>3</v>
      </c>
      <c r="I4" t="s">
        <v>37</v>
      </c>
      <c r="J4">
        <f>J2</f>
        <v>2</v>
      </c>
      <c r="K4">
        <f t="shared" ref="K4:L4" si="6">K2</f>
        <v>1</v>
      </c>
      <c r="L4">
        <f t="shared" si="6"/>
        <v>35</v>
      </c>
      <c r="M4">
        <f>E15-M2</f>
        <v>16</v>
      </c>
      <c r="N4">
        <v>48</v>
      </c>
      <c r="O4">
        <f>PRODUCT(J4:N4)</f>
        <v>53760</v>
      </c>
      <c r="P4" s="7">
        <f t="shared" si="2"/>
        <v>4.5093795093795094E-4</v>
      </c>
      <c r="Q4" s="7">
        <f t="shared" si="3"/>
        <v>9.0187590187590181E-3</v>
      </c>
      <c r="R4" s="7">
        <f>Q4*D22</f>
        <v>1.8037518037518036E-2</v>
      </c>
      <c r="S4" s="7">
        <f t="shared" si="4"/>
        <v>1.8037518037518035E-3</v>
      </c>
      <c r="T4" s="13"/>
      <c r="U4" s="7">
        <v>1.78491E-3</v>
      </c>
      <c r="V4" s="10">
        <f t="shared" si="5"/>
        <v>1.8841803751803521E-5</v>
      </c>
      <c r="W4" s="7"/>
    </row>
    <row r="5" spans="1:23">
      <c r="A5" t="s">
        <v>5</v>
      </c>
      <c r="B5">
        <v>3</v>
      </c>
      <c r="C5">
        <v>0</v>
      </c>
      <c r="D5">
        <v>4</v>
      </c>
      <c r="E5">
        <v>4</v>
      </c>
      <c r="F5">
        <v>4</v>
      </c>
      <c r="I5" s="12" t="s">
        <v>38</v>
      </c>
      <c r="J5" s="8">
        <f>B3+B5</f>
        <v>3</v>
      </c>
      <c r="K5" s="8">
        <f t="shared" ref="K5:N5" si="7">C3+C5</f>
        <v>1</v>
      </c>
      <c r="L5" s="8">
        <f t="shared" si="7"/>
        <v>33</v>
      </c>
      <c r="M5" s="8">
        <f t="shared" si="7"/>
        <v>32</v>
      </c>
      <c r="N5" s="8">
        <f t="shared" si="7"/>
        <v>4</v>
      </c>
      <c r="O5" s="8">
        <f t="shared" ref="O5:O28" si="8">PRODUCT(J5:N5)</f>
        <v>12672</v>
      </c>
      <c r="P5" s="9">
        <f t="shared" si="2"/>
        <v>1.0629251700680272E-4</v>
      </c>
      <c r="Q5" s="9">
        <f>P5*$A$19</f>
        <v>2.1258503401360542E-3</v>
      </c>
      <c r="R5" s="9">
        <f>Q5*B23</f>
        <v>0.10629251700680271</v>
      </c>
      <c r="S5" s="9">
        <f t="shared" si="4"/>
        <v>1.0629251700680272E-2</v>
      </c>
      <c r="U5" s="7">
        <v>1.0563299999999999E-2</v>
      </c>
      <c r="V5" s="10">
        <f t="shared" si="5"/>
        <v>6.595170068027234E-5</v>
      </c>
      <c r="W5" s="7"/>
    </row>
    <row r="6" spans="1:23">
      <c r="A6" t="s">
        <v>6</v>
      </c>
      <c r="B6">
        <v>3</v>
      </c>
      <c r="C6">
        <v>0</v>
      </c>
      <c r="D6">
        <v>0</v>
      </c>
      <c r="E6">
        <v>0</v>
      </c>
      <c r="F6">
        <v>6</v>
      </c>
      <c r="I6" t="s">
        <v>39</v>
      </c>
      <c r="J6">
        <f>J5</f>
        <v>3</v>
      </c>
      <c r="K6">
        <f t="shared" ref="K6:M6" si="9">K5</f>
        <v>1</v>
      </c>
      <c r="L6">
        <f t="shared" si="9"/>
        <v>33</v>
      </c>
      <c r="M6">
        <f t="shared" si="9"/>
        <v>32</v>
      </c>
      <c r="N6">
        <f>F15-N5</f>
        <v>44</v>
      </c>
      <c r="O6">
        <f t="shared" si="8"/>
        <v>139392</v>
      </c>
      <c r="P6" s="7">
        <f t="shared" si="2"/>
        <v>1.1692176870748299E-3</v>
      </c>
      <c r="Q6" s="7">
        <f t="shared" si="3"/>
        <v>2.3384353741496597E-2</v>
      </c>
      <c r="R6" s="7">
        <f>Q6*C23</f>
        <v>0.28061224489795916</v>
      </c>
      <c r="S6" s="7">
        <f t="shared" si="4"/>
        <v>2.8061224489795915E-2</v>
      </c>
      <c r="U6" s="7">
        <v>2.7816047999999999E-2</v>
      </c>
      <c r="V6" s="10">
        <f t="shared" si="5"/>
        <v>2.4517648979591536E-4</v>
      </c>
      <c r="W6" s="7"/>
    </row>
    <row r="7" spans="1:23">
      <c r="A7" t="s">
        <v>7</v>
      </c>
      <c r="B7">
        <v>2</v>
      </c>
      <c r="C7">
        <v>8</v>
      </c>
      <c r="D7">
        <v>2</v>
      </c>
      <c r="E7">
        <v>0</v>
      </c>
      <c r="F7">
        <v>6</v>
      </c>
      <c r="I7" t="s">
        <v>40</v>
      </c>
      <c r="J7">
        <f>J5</f>
        <v>3</v>
      </c>
      <c r="K7">
        <f t="shared" ref="K7:L7" si="10">K5</f>
        <v>1</v>
      </c>
      <c r="L7">
        <f t="shared" si="10"/>
        <v>33</v>
      </c>
      <c r="M7">
        <f>D15-M5</f>
        <v>17</v>
      </c>
      <c r="N7">
        <f>F15</f>
        <v>48</v>
      </c>
      <c r="O7">
        <f t="shared" si="8"/>
        <v>80784</v>
      </c>
      <c r="P7" s="7">
        <f t="shared" si="2"/>
        <v>6.7761479591836734E-4</v>
      </c>
      <c r="Q7" s="7">
        <f t="shared" si="3"/>
        <v>1.3552295918367346E-2</v>
      </c>
      <c r="R7" s="7">
        <f>Q7*D23</f>
        <v>2.7104591836734693E-2</v>
      </c>
      <c r="S7" s="7">
        <f t="shared" si="4"/>
        <v>2.7104591836734694E-3</v>
      </c>
      <c r="U7" s="7">
        <v>2.5311499999999998E-3</v>
      </c>
      <c r="V7" s="10">
        <f t="shared" si="5"/>
        <v>1.7930918367346955E-4</v>
      </c>
      <c r="W7" s="7"/>
    </row>
    <row r="8" spans="1:23">
      <c r="A8" t="s">
        <v>8</v>
      </c>
      <c r="B8">
        <v>4</v>
      </c>
      <c r="C8">
        <v>8</v>
      </c>
      <c r="D8">
        <v>4</v>
      </c>
      <c r="E8">
        <v>6</v>
      </c>
      <c r="F8">
        <v>5</v>
      </c>
      <c r="I8" s="8" t="s">
        <v>41</v>
      </c>
      <c r="J8" s="8">
        <f>B3+B6</f>
        <v>3</v>
      </c>
      <c r="K8" s="8">
        <f t="shared" ref="K8:N8" si="11">C3+C6</f>
        <v>1</v>
      </c>
      <c r="L8" s="8">
        <f t="shared" si="11"/>
        <v>29</v>
      </c>
      <c r="M8" s="8">
        <f t="shared" si="11"/>
        <v>28</v>
      </c>
      <c r="N8" s="8">
        <f t="shared" si="11"/>
        <v>6</v>
      </c>
      <c r="O8" s="8">
        <f t="shared" si="8"/>
        <v>14616</v>
      </c>
      <c r="P8" s="9">
        <f t="shared" si="2"/>
        <v>1.2259875541125541E-4</v>
      </c>
      <c r="Q8" s="9">
        <f t="shared" si="3"/>
        <v>2.451975108225108E-3</v>
      </c>
      <c r="R8" s="9">
        <f>Q8*B24</f>
        <v>0.12259875541125539</v>
      </c>
      <c r="S8" s="9">
        <f t="shared" si="4"/>
        <v>1.225987554112554E-2</v>
      </c>
      <c r="U8" s="7">
        <v>1.2009550000000001E-2</v>
      </c>
      <c r="V8" s="10">
        <f t="shared" si="5"/>
        <v>2.5032554112553937E-4</v>
      </c>
      <c r="W8" s="7"/>
    </row>
    <row r="9" spans="1:23">
      <c r="A9" t="s">
        <v>9</v>
      </c>
      <c r="B9">
        <v>7</v>
      </c>
      <c r="C9">
        <v>2</v>
      </c>
      <c r="D9">
        <v>2</v>
      </c>
      <c r="E9">
        <v>0</v>
      </c>
      <c r="F9">
        <v>6</v>
      </c>
      <c r="I9" t="s">
        <v>42</v>
      </c>
      <c r="J9">
        <f>J8</f>
        <v>3</v>
      </c>
      <c r="K9">
        <f t="shared" ref="K9:M10" si="12">K8</f>
        <v>1</v>
      </c>
      <c r="L9">
        <f t="shared" si="12"/>
        <v>29</v>
      </c>
      <c r="M9">
        <f t="shared" si="12"/>
        <v>28</v>
      </c>
      <c r="N9">
        <f>F15-N8</f>
        <v>42</v>
      </c>
      <c r="O9">
        <f t="shared" si="8"/>
        <v>102312</v>
      </c>
      <c r="P9" s="7">
        <f t="shared" si="2"/>
        <v>8.5819128787878788E-4</v>
      </c>
      <c r="Q9" s="7">
        <f t="shared" si="3"/>
        <v>1.7163825757575756E-2</v>
      </c>
      <c r="R9" s="7">
        <f>Q9*C24</f>
        <v>0.20596590909090906</v>
      </c>
      <c r="S9" s="7">
        <f t="shared" si="4"/>
        <v>2.0596590909090905E-2</v>
      </c>
      <c r="U9" s="7">
        <v>2.0313048E-2</v>
      </c>
      <c r="V9" s="10">
        <f t="shared" si="5"/>
        <v>2.8354290909090446E-4</v>
      </c>
      <c r="W9" s="7"/>
    </row>
    <row r="10" spans="1:23">
      <c r="A10" t="s">
        <v>10</v>
      </c>
      <c r="B10">
        <v>7</v>
      </c>
      <c r="C10">
        <v>2</v>
      </c>
      <c r="D10">
        <v>2</v>
      </c>
      <c r="E10">
        <v>2</v>
      </c>
      <c r="F10">
        <v>6</v>
      </c>
      <c r="I10" t="s">
        <v>43</v>
      </c>
      <c r="J10">
        <f>J9</f>
        <v>3</v>
      </c>
      <c r="K10">
        <f t="shared" si="12"/>
        <v>1</v>
      </c>
      <c r="L10">
        <f t="shared" si="12"/>
        <v>29</v>
      </c>
      <c r="M10">
        <f>E15-M9</f>
        <v>20</v>
      </c>
      <c r="N10">
        <f>F15</f>
        <v>48</v>
      </c>
      <c r="O10">
        <f t="shared" si="8"/>
        <v>83520</v>
      </c>
      <c r="P10" s="7">
        <f t="shared" si="2"/>
        <v>7.0056431663574517E-4</v>
      </c>
      <c r="Q10" s="7">
        <f t="shared" si="3"/>
        <v>1.4011286332714904E-2</v>
      </c>
      <c r="R10" s="7">
        <f>Q10*D24</f>
        <v>2.8022572665429808E-2</v>
      </c>
      <c r="S10" s="7">
        <f t="shared" si="4"/>
        <v>2.8022572665429807E-3</v>
      </c>
      <c r="U10" s="7">
        <v>2.7699700000000001E-3</v>
      </c>
      <c r="V10" s="10">
        <f t="shared" si="5"/>
        <v>3.2287266542980596E-5</v>
      </c>
      <c r="W10" s="7"/>
    </row>
    <row r="11" spans="1:23">
      <c r="A11" t="s">
        <v>11</v>
      </c>
      <c r="B11">
        <v>2</v>
      </c>
      <c r="C11">
        <v>6</v>
      </c>
      <c r="D11">
        <v>0</v>
      </c>
      <c r="E11">
        <v>0</v>
      </c>
      <c r="F11">
        <v>6</v>
      </c>
      <c r="I11" s="8" t="s">
        <v>44</v>
      </c>
      <c r="J11" s="8">
        <f>B3+B7</f>
        <v>2</v>
      </c>
      <c r="K11" s="8">
        <f t="shared" ref="K11:N11" si="13">C3+C7</f>
        <v>9</v>
      </c>
      <c r="L11" s="8">
        <f t="shared" si="13"/>
        <v>31</v>
      </c>
      <c r="M11" s="8">
        <f t="shared" si="13"/>
        <v>28</v>
      </c>
      <c r="N11" s="8">
        <f t="shared" si="13"/>
        <v>6</v>
      </c>
      <c r="O11" s="8">
        <f t="shared" si="8"/>
        <v>93744</v>
      </c>
      <c r="P11" s="9">
        <f t="shared" si="2"/>
        <v>7.8632305194805199E-4</v>
      </c>
      <c r="Q11" s="9">
        <f t="shared" si="3"/>
        <v>1.572646103896104E-2</v>
      </c>
      <c r="R11" s="9">
        <f>Q11*B25</f>
        <v>0.78632305194805197</v>
      </c>
      <c r="S11" s="9">
        <f t="shared" si="4"/>
        <v>7.8632305194805199E-2</v>
      </c>
      <c r="U11" s="7">
        <v>7.7698199999999995E-2</v>
      </c>
      <c r="V11" s="10">
        <f t="shared" si="5"/>
        <v>9.3410519480520426E-4</v>
      </c>
      <c r="W11" s="7"/>
    </row>
    <row r="12" spans="1:23">
      <c r="A12" t="s">
        <v>12</v>
      </c>
      <c r="B12">
        <v>2</v>
      </c>
      <c r="C12">
        <v>6</v>
      </c>
      <c r="D12">
        <v>0</v>
      </c>
      <c r="E12">
        <v>4</v>
      </c>
      <c r="F12">
        <v>6</v>
      </c>
      <c r="I12" t="s">
        <v>45</v>
      </c>
      <c r="J12">
        <f>J11</f>
        <v>2</v>
      </c>
      <c r="K12">
        <f t="shared" ref="K12:M13" si="14">K11</f>
        <v>9</v>
      </c>
      <c r="L12">
        <f t="shared" si="14"/>
        <v>31</v>
      </c>
      <c r="M12">
        <f t="shared" si="14"/>
        <v>28</v>
      </c>
      <c r="N12">
        <f>F15-N11</f>
        <v>42</v>
      </c>
      <c r="O12">
        <f t="shared" si="8"/>
        <v>656208</v>
      </c>
      <c r="P12" s="7">
        <f t="shared" si="2"/>
        <v>5.504261363636364E-3</v>
      </c>
      <c r="Q12" s="7">
        <f t="shared" si="3"/>
        <v>0.11008522727272728</v>
      </c>
      <c r="R12" s="7">
        <f>Q12*C25</f>
        <v>1.3210227272727273</v>
      </c>
      <c r="S12" s="7">
        <f t="shared" si="4"/>
        <v>0.13210227272727273</v>
      </c>
      <c r="U12" s="7">
        <v>0.130582956</v>
      </c>
      <c r="V12" s="10">
        <f t="shared" si="5"/>
        <v>1.5193167272727348E-3</v>
      </c>
      <c r="W12" s="7"/>
    </row>
    <row r="13" spans="1:23">
      <c r="A13" t="s">
        <v>20</v>
      </c>
      <c r="B13">
        <v>0</v>
      </c>
      <c r="C13">
        <v>0</v>
      </c>
      <c r="D13">
        <v>0</v>
      </c>
      <c r="E13">
        <v>0</v>
      </c>
      <c r="F13">
        <v>0</v>
      </c>
      <c r="I13" t="s">
        <v>46</v>
      </c>
      <c r="J13">
        <f>J12</f>
        <v>2</v>
      </c>
      <c r="K13">
        <f t="shared" si="14"/>
        <v>9</v>
      </c>
      <c r="L13">
        <f t="shared" si="14"/>
        <v>31</v>
      </c>
      <c r="M13">
        <f>E15-M11</f>
        <v>20</v>
      </c>
      <c r="N13">
        <f>F15</f>
        <v>48</v>
      </c>
      <c r="O13">
        <f t="shared" si="8"/>
        <v>535680</v>
      </c>
      <c r="P13" s="7">
        <f t="shared" si="2"/>
        <v>4.4932745825602971E-3</v>
      </c>
      <c r="Q13" s="7">
        <f t="shared" si="3"/>
        <v>8.9865491651205942E-2</v>
      </c>
      <c r="R13" s="7">
        <f>Q13*D25</f>
        <v>0.17973098330241188</v>
      </c>
      <c r="S13" s="7">
        <f t="shared" si="4"/>
        <v>1.7973098330241188E-2</v>
      </c>
      <c r="U13" s="7">
        <v>1.7740398000000001E-2</v>
      </c>
      <c r="V13" s="10">
        <f t="shared" si="5"/>
        <v>2.3270033024118744E-4</v>
      </c>
      <c r="W13" s="7"/>
    </row>
    <row r="14" spans="1:23">
      <c r="A14" t="s">
        <v>21</v>
      </c>
      <c r="B14">
        <v>0</v>
      </c>
      <c r="C14">
        <v>0</v>
      </c>
      <c r="D14">
        <v>0</v>
      </c>
      <c r="E14">
        <v>0</v>
      </c>
      <c r="F14">
        <v>0</v>
      </c>
      <c r="I14" s="8" t="s">
        <v>47</v>
      </c>
      <c r="J14" s="8">
        <f>B3+B8</f>
        <v>4</v>
      </c>
      <c r="K14" s="8">
        <f t="shared" ref="K14:N14" si="15">C3+C8</f>
        <v>9</v>
      </c>
      <c r="L14" s="8">
        <f t="shared" si="15"/>
        <v>33</v>
      </c>
      <c r="M14" s="8">
        <f t="shared" si="15"/>
        <v>34</v>
      </c>
      <c r="N14" s="8">
        <f t="shared" si="15"/>
        <v>5</v>
      </c>
      <c r="O14" s="8">
        <f t="shared" si="8"/>
        <v>201960</v>
      </c>
      <c r="P14" s="9">
        <f t="shared" si="2"/>
        <v>1.6940369897959183E-3</v>
      </c>
      <c r="Q14" s="9">
        <f t="shared" si="3"/>
        <v>3.3880739795918366E-2</v>
      </c>
      <c r="R14" s="9">
        <f>Q14*B26</f>
        <v>1.3552295918367347</v>
      </c>
      <c r="S14" s="9">
        <f t="shared" si="4"/>
        <v>0.13552295918367346</v>
      </c>
      <c r="U14" s="7">
        <v>0.134433</v>
      </c>
      <c r="V14" s="10">
        <f t="shared" si="5"/>
        <v>1.0899591836734668E-3</v>
      </c>
      <c r="W14" s="7"/>
    </row>
    <row r="15" spans="1:23">
      <c r="A15" s="1" t="s">
        <v>22</v>
      </c>
      <c r="B15" s="5">
        <f>SUM(B3:B14)</f>
        <v>32</v>
      </c>
      <c r="C15" s="5">
        <f t="shared" ref="C15:F15" si="16">SUM(C3:C14)</f>
        <v>33</v>
      </c>
      <c r="D15" s="5">
        <f t="shared" si="16"/>
        <v>49</v>
      </c>
      <c r="E15" s="5">
        <f t="shared" si="16"/>
        <v>48</v>
      </c>
      <c r="F15" s="5">
        <f t="shared" si="16"/>
        <v>48</v>
      </c>
      <c r="I15" t="s">
        <v>48</v>
      </c>
      <c r="J15">
        <f>J14</f>
        <v>4</v>
      </c>
      <c r="K15">
        <f t="shared" ref="K15:M15" si="17">K14</f>
        <v>9</v>
      </c>
      <c r="L15">
        <f t="shared" si="17"/>
        <v>33</v>
      </c>
      <c r="M15">
        <f t="shared" si="17"/>
        <v>34</v>
      </c>
      <c r="N15">
        <f>F15-N14</f>
        <v>43</v>
      </c>
      <c r="O15">
        <f t="shared" si="8"/>
        <v>1736856</v>
      </c>
      <c r="P15" s="7">
        <f t="shared" si="2"/>
        <v>1.4568718112244899E-2</v>
      </c>
      <c r="Q15" s="7">
        <f t="shared" si="3"/>
        <v>0.29137436224489799</v>
      </c>
      <c r="R15" s="7">
        <f>Q15*C26</f>
        <v>2.039620535714286</v>
      </c>
      <c r="S15" s="7">
        <f t="shared" si="4"/>
        <v>0.2039620535714286</v>
      </c>
      <c r="U15" s="7">
        <v>0.20189185800000001</v>
      </c>
      <c r="V15" s="10">
        <f t="shared" si="5"/>
        <v>2.0701955714285958E-3</v>
      </c>
      <c r="W15" s="7"/>
    </row>
    <row r="16" spans="1:23">
      <c r="A16" s="4" t="s">
        <v>33</v>
      </c>
      <c r="B16" s="6">
        <f>PRODUCT(B15:F15)</f>
        <v>119218176</v>
      </c>
      <c r="I16" t="s">
        <v>49</v>
      </c>
      <c r="J16">
        <f>J14</f>
        <v>4</v>
      </c>
      <c r="K16">
        <f t="shared" ref="K16:L16" si="18">K14</f>
        <v>9</v>
      </c>
      <c r="L16">
        <f t="shared" si="18"/>
        <v>33</v>
      </c>
      <c r="M16">
        <f>E15-M14</f>
        <v>14</v>
      </c>
      <c r="N16">
        <f>F15</f>
        <v>48</v>
      </c>
      <c r="O16">
        <f t="shared" si="8"/>
        <v>798336</v>
      </c>
      <c r="P16" s="7">
        <f t="shared" si="2"/>
        <v>6.6964285714285711E-3</v>
      </c>
      <c r="Q16" s="7">
        <f t="shared" si="3"/>
        <v>0.13392857142857142</v>
      </c>
      <c r="R16" s="7">
        <f>Q16*D26</f>
        <v>0.26785714285714285</v>
      </c>
      <c r="S16" s="7">
        <f t="shared" si="4"/>
        <v>2.6785714285714284E-2</v>
      </c>
      <c r="U16" s="7">
        <v>2.6551312000000001E-2</v>
      </c>
      <c r="V16" s="10">
        <f t="shared" si="5"/>
        <v>2.344022857142837E-4</v>
      </c>
      <c r="W16" s="7"/>
    </row>
    <row r="17" spans="1:23">
      <c r="A17" s="11"/>
      <c r="B17" s="6"/>
      <c r="I17" s="8" t="s">
        <v>50</v>
      </c>
      <c r="J17" s="8">
        <f>B3+B9</f>
        <v>7</v>
      </c>
      <c r="K17" s="8">
        <f t="shared" ref="K17:N17" si="19">C3+C9</f>
        <v>3</v>
      </c>
      <c r="L17" s="8">
        <f t="shared" si="19"/>
        <v>31</v>
      </c>
      <c r="M17" s="8">
        <f t="shared" si="19"/>
        <v>28</v>
      </c>
      <c r="N17" s="8">
        <f t="shared" si="19"/>
        <v>6</v>
      </c>
      <c r="O17" s="8">
        <f t="shared" si="8"/>
        <v>109368</v>
      </c>
      <c r="P17" s="9">
        <f t="shared" si="2"/>
        <v>9.1737689393939399E-4</v>
      </c>
      <c r="Q17" s="9">
        <f t="shared" si="3"/>
        <v>1.834753787878788E-2</v>
      </c>
      <c r="R17" s="9">
        <f>Q17*B27</f>
        <v>0.45868844696969702</v>
      </c>
      <c r="S17" s="9">
        <f t="shared" si="4"/>
        <v>4.5868844696969703E-2</v>
      </c>
      <c r="U17" s="7">
        <v>4.5273475000000001E-2</v>
      </c>
      <c r="V17" s="10">
        <f t="shared" si="5"/>
        <v>5.9536969696970254E-4</v>
      </c>
      <c r="W17" s="7"/>
    </row>
    <row r="18" spans="1:23">
      <c r="A18" s="3" t="s">
        <v>30</v>
      </c>
      <c r="B18" s="3" t="s">
        <v>34</v>
      </c>
      <c r="I18" t="s">
        <v>51</v>
      </c>
      <c r="J18">
        <f>J17</f>
        <v>7</v>
      </c>
      <c r="K18">
        <f t="shared" ref="K18:M18" si="20">K17</f>
        <v>3</v>
      </c>
      <c r="L18">
        <f t="shared" si="20"/>
        <v>31</v>
      </c>
      <c r="M18">
        <f t="shared" si="20"/>
        <v>28</v>
      </c>
      <c r="N18">
        <f>F15-N17</f>
        <v>42</v>
      </c>
      <c r="O18">
        <f t="shared" si="8"/>
        <v>765576</v>
      </c>
      <c r="P18" s="7">
        <f t="shared" si="2"/>
        <v>6.4216382575757579E-3</v>
      </c>
      <c r="Q18" s="7">
        <f t="shared" si="3"/>
        <v>0.12843276515151517</v>
      </c>
      <c r="R18" s="7">
        <f>Q18*C27</f>
        <v>0.6421638257575758</v>
      </c>
      <c r="S18" s="7">
        <f t="shared" si="4"/>
        <v>6.4216382575757583E-2</v>
      </c>
      <c r="U18" s="7">
        <v>6.3422615000000002E-2</v>
      </c>
      <c r="V18" s="10">
        <f t="shared" si="5"/>
        <v>7.9376757575758128E-4</v>
      </c>
      <c r="W18" s="7"/>
    </row>
    <row r="19" spans="1:23">
      <c r="A19">
        <v>20</v>
      </c>
      <c r="B19">
        <v>10</v>
      </c>
      <c r="I19" t="s">
        <v>52</v>
      </c>
      <c r="J19">
        <f>J17</f>
        <v>7</v>
      </c>
      <c r="K19">
        <f t="shared" ref="K19:L19" si="21">K17</f>
        <v>3</v>
      </c>
      <c r="L19">
        <f t="shared" si="21"/>
        <v>31</v>
      </c>
      <c r="M19">
        <f>E15-M17</f>
        <v>20</v>
      </c>
      <c r="N19">
        <f>F15</f>
        <v>48</v>
      </c>
      <c r="O19">
        <f t="shared" si="8"/>
        <v>624960</v>
      </c>
      <c r="P19" s="7">
        <f t="shared" si="2"/>
        <v>5.24215367965368E-3</v>
      </c>
      <c r="Q19" s="7">
        <f t="shared" si="3"/>
        <v>0.1048430735930736</v>
      </c>
      <c r="R19" s="7">
        <f>Q19*D27</f>
        <v>0.2096861471861472</v>
      </c>
      <c r="S19" s="7">
        <f t="shared" si="4"/>
        <v>2.096861471861472E-2</v>
      </c>
      <c r="U19" s="7">
        <v>2.0735529999999999E-2</v>
      </c>
      <c r="V19" s="10">
        <f t="shared" si="5"/>
        <v>2.3308471861472127E-4</v>
      </c>
      <c r="W19" s="7"/>
    </row>
    <row r="20" spans="1:23">
      <c r="I20" s="8" t="s">
        <v>53</v>
      </c>
      <c r="J20" s="8">
        <f>B3+B10</f>
        <v>7</v>
      </c>
      <c r="K20" s="8">
        <f t="shared" ref="K20:N20" si="22">C3+C10</f>
        <v>3</v>
      </c>
      <c r="L20" s="8">
        <f t="shared" si="22"/>
        <v>31</v>
      </c>
      <c r="M20" s="8">
        <f t="shared" si="22"/>
        <v>30</v>
      </c>
      <c r="N20" s="8">
        <f t="shared" si="22"/>
        <v>6</v>
      </c>
      <c r="O20" s="8">
        <f t="shared" si="8"/>
        <v>117180</v>
      </c>
      <c r="P20" s="9">
        <f t="shared" si="2"/>
        <v>9.8290381493506499E-4</v>
      </c>
      <c r="Q20" s="9">
        <f t="shared" si="3"/>
        <v>1.96580762987013E-2</v>
      </c>
      <c r="R20" s="9">
        <f>Q20*B28</f>
        <v>0.49145190746753248</v>
      </c>
      <c r="S20" s="9">
        <f t="shared" si="4"/>
        <v>4.9145190746753248E-2</v>
      </c>
      <c r="U20" s="7">
        <v>4.8552024999999999E-2</v>
      </c>
      <c r="V20" s="10">
        <f t="shared" si="5"/>
        <v>5.9316574675324918E-4</v>
      </c>
      <c r="W20" s="7"/>
    </row>
    <row r="21" spans="1:23">
      <c r="A21" s="1" t="s">
        <v>0</v>
      </c>
      <c r="B21" s="1" t="s">
        <v>1</v>
      </c>
      <c r="C21" s="1" t="s">
        <v>2</v>
      </c>
      <c r="D21" s="1" t="s">
        <v>3</v>
      </c>
      <c r="I21" t="s">
        <v>54</v>
      </c>
      <c r="J21">
        <f>J20</f>
        <v>7</v>
      </c>
      <c r="K21">
        <f t="shared" ref="K21:M21" si="23">K20</f>
        <v>3</v>
      </c>
      <c r="L21">
        <f t="shared" si="23"/>
        <v>31</v>
      </c>
      <c r="M21">
        <f t="shared" si="23"/>
        <v>30</v>
      </c>
      <c r="N21">
        <f>F15-N20</f>
        <v>42</v>
      </c>
      <c r="O21">
        <f t="shared" si="8"/>
        <v>820260</v>
      </c>
      <c r="P21" s="7">
        <f t="shared" si="2"/>
        <v>6.8803267045454549E-3</v>
      </c>
      <c r="Q21" s="7">
        <f t="shared" si="3"/>
        <v>0.13760653409090909</v>
      </c>
      <c r="R21" s="7">
        <f>Q21*C28</f>
        <v>0.68803267045454541</v>
      </c>
      <c r="S21" s="7">
        <f t="shared" si="4"/>
        <v>6.8803267045454544E-2</v>
      </c>
      <c r="U21" s="7">
        <v>6.7928594999999994E-2</v>
      </c>
      <c r="V21" s="10">
        <f t="shared" si="5"/>
        <v>8.746720454545498E-4</v>
      </c>
      <c r="W21" s="7"/>
    </row>
    <row r="22" spans="1:23">
      <c r="A22" t="s">
        <v>4</v>
      </c>
      <c r="B22" s="2">
        <v>75</v>
      </c>
      <c r="C22" s="2">
        <v>25</v>
      </c>
      <c r="D22" s="2">
        <v>2</v>
      </c>
      <c r="I22" t="s">
        <v>55</v>
      </c>
      <c r="J22">
        <f>J20</f>
        <v>7</v>
      </c>
      <c r="K22">
        <f t="shared" ref="K22:L22" si="24">K20</f>
        <v>3</v>
      </c>
      <c r="L22">
        <f t="shared" si="24"/>
        <v>31</v>
      </c>
      <c r="M22">
        <f>E15-M20</f>
        <v>18</v>
      </c>
      <c r="N22">
        <f>F15</f>
        <v>48</v>
      </c>
      <c r="O22">
        <f t="shared" si="8"/>
        <v>562464</v>
      </c>
      <c r="P22" s="7">
        <f t="shared" si="2"/>
        <v>4.717938311688312E-3</v>
      </c>
      <c r="Q22" s="7">
        <f t="shared" si="3"/>
        <v>9.4358766233766239E-2</v>
      </c>
      <c r="R22" s="7">
        <f>Q22*D28</f>
        <v>0.18871753246753248</v>
      </c>
      <c r="S22" s="7">
        <f t="shared" si="4"/>
        <v>1.8871753246753248E-2</v>
      </c>
      <c r="U22" s="7">
        <v>1.8654278E-2</v>
      </c>
      <c r="V22" s="10">
        <f t="shared" si="5"/>
        <v>2.17475246753248E-4</v>
      </c>
      <c r="W22" s="7"/>
    </row>
    <row r="23" spans="1:23">
      <c r="A23" t="s">
        <v>5</v>
      </c>
      <c r="B23" s="2">
        <v>50</v>
      </c>
      <c r="C23" s="2">
        <v>12</v>
      </c>
      <c r="D23" s="2">
        <v>2</v>
      </c>
      <c r="I23" s="8" t="s">
        <v>56</v>
      </c>
      <c r="J23" s="8">
        <f>B3+B11</f>
        <v>2</v>
      </c>
      <c r="K23" s="8">
        <f t="shared" ref="K23:N23" si="25">C3+C11</f>
        <v>7</v>
      </c>
      <c r="L23" s="8">
        <f t="shared" si="25"/>
        <v>29</v>
      </c>
      <c r="M23" s="8">
        <f t="shared" si="25"/>
        <v>28</v>
      </c>
      <c r="N23" s="8">
        <f t="shared" si="25"/>
        <v>6</v>
      </c>
      <c r="O23" s="8">
        <f t="shared" si="8"/>
        <v>68208</v>
      </c>
      <c r="P23" s="9">
        <f t="shared" si="2"/>
        <v>5.7212752525252525E-4</v>
      </c>
      <c r="Q23" s="9">
        <f t="shared" si="3"/>
        <v>1.1442550505050504E-2</v>
      </c>
      <c r="R23" s="9">
        <f>Q23*B29</f>
        <v>0.2860637626262626</v>
      </c>
      <c r="S23" s="9">
        <f t="shared" si="4"/>
        <v>2.860637626262626E-2</v>
      </c>
      <c r="U23" s="7">
        <v>2.8217699999999998E-2</v>
      </c>
      <c r="V23" s="10">
        <f t="shared" si="5"/>
        <v>3.8867626262626201E-4</v>
      </c>
      <c r="W23" s="7"/>
    </row>
    <row r="24" spans="1:23">
      <c r="A24" t="s">
        <v>6</v>
      </c>
      <c r="B24" s="2">
        <v>50</v>
      </c>
      <c r="C24" s="2">
        <v>12</v>
      </c>
      <c r="D24" s="2">
        <v>2</v>
      </c>
      <c r="I24" t="s">
        <v>57</v>
      </c>
      <c r="J24">
        <f>J23</f>
        <v>2</v>
      </c>
      <c r="K24">
        <f t="shared" ref="K24:M24" si="26">K23</f>
        <v>7</v>
      </c>
      <c r="L24">
        <f t="shared" si="26"/>
        <v>29</v>
      </c>
      <c r="M24">
        <f t="shared" si="26"/>
        <v>28</v>
      </c>
      <c r="N24">
        <f>F15-N23</f>
        <v>42</v>
      </c>
      <c r="O24">
        <f t="shared" si="8"/>
        <v>477456</v>
      </c>
      <c r="P24" s="7">
        <f t="shared" si="2"/>
        <v>4.004892676767677E-3</v>
      </c>
      <c r="Q24" s="7">
        <f t="shared" si="3"/>
        <v>8.0097853535353536E-2</v>
      </c>
      <c r="R24" s="7">
        <f>Q24*C29</f>
        <v>0.40048926767676768</v>
      </c>
      <c r="S24" s="7">
        <f t="shared" si="4"/>
        <v>4.0048926767676768E-2</v>
      </c>
      <c r="U24" s="7">
        <v>3.949486E-2</v>
      </c>
      <c r="V24" s="10">
        <f t="shared" si="5"/>
        <v>5.5406676767676827E-4</v>
      </c>
      <c r="W24" s="7"/>
    </row>
    <row r="25" spans="1:23">
      <c r="A25" t="s">
        <v>7</v>
      </c>
      <c r="B25" s="2">
        <v>50</v>
      </c>
      <c r="C25" s="2">
        <v>12</v>
      </c>
      <c r="D25" s="2">
        <v>2</v>
      </c>
      <c r="I25" t="s">
        <v>58</v>
      </c>
      <c r="J25">
        <f>J23</f>
        <v>2</v>
      </c>
      <c r="K25">
        <f t="shared" ref="K25:L25" si="27">K23</f>
        <v>7</v>
      </c>
      <c r="L25">
        <f t="shared" si="27"/>
        <v>29</v>
      </c>
      <c r="M25">
        <f>E15-M23</f>
        <v>20</v>
      </c>
      <c r="N25">
        <f>F15</f>
        <v>48</v>
      </c>
      <c r="O25">
        <f t="shared" si="8"/>
        <v>389760</v>
      </c>
      <c r="P25" s="7">
        <f t="shared" si="2"/>
        <v>3.2693001443001445E-3</v>
      </c>
      <c r="Q25" s="7">
        <f t="shared" si="3"/>
        <v>6.5386002886002895E-2</v>
      </c>
      <c r="R25" s="7">
        <f>Q25*D29</f>
        <v>0.13077200577200579</v>
      </c>
      <c r="S25" s="7">
        <f t="shared" si="4"/>
        <v>1.307720057720058E-2</v>
      </c>
      <c r="U25" s="7">
        <v>1.2893874E-2</v>
      </c>
      <c r="V25" s="10">
        <f t="shared" si="5"/>
        <v>1.8332657720058002E-4</v>
      </c>
      <c r="W25" s="7"/>
    </row>
    <row r="26" spans="1:23">
      <c r="A26" t="s">
        <v>8</v>
      </c>
      <c r="B26" s="2">
        <v>40</v>
      </c>
      <c r="C26" s="2">
        <v>7</v>
      </c>
      <c r="D26" s="2">
        <v>2</v>
      </c>
      <c r="I26" s="8" t="s">
        <v>59</v>
      </c>
      <c r="J26" s="8">
        <f>B3+B12</f>
        <v>2</v>
      </c>
      <c r="K26" s="8">
        <f t="shared" ref="K26:N26" si="28">C3+C12</f>
        <v>7</v>
      </c>
      <c r="L26" s="8">
        <f t="shared" si="28"/>
        <v>29</v>
      </c>
      <c r="M26" s="8">
        <f t="shared" si="28"/>
        <v>32</v>
      </c>
      <c r="N26" s="8">
        <f t="shared" si="28"/>
        <v>6</v>
      </c>
      <c r="O26" s="8">
        <f t="shared" si="8"/>
        <v>77952</v>
      </c>
      <c r="P26" s="9">
        <f t="shared" si="2"/>
        <v>6.5386002886002887E-4</v>
      </c>
      <c r="Q26" s="9">
        <f t="shared" si="3"/>
        <v>1.3077200577200578E-2</v>
      </c>
      <c r="R26" s="9">
        <f>Q26*B30</f>
        <v>0.32693001443001446</v>
      </c>
      <c r="S26" s="9">
        <f t="shared" si="4"/>
        <v>3.2693001443001447E-2</v>
      </c>
      <c r="U26" s="7">
        <v>3.2289325000000001E-2</v>
      </c>
      <c r="V26" s="10">
        <f t="shared" si="5"/>
        <v>4.0367644300144667E-4</v>
      </c>
      <c r="W26" s="7"/>
    </row>
    <row r="27" spans="1:23">
      <c r="A27" t="s">
        <v>9</v>
      </c>
      <c r="B27" s="2">
        <v>25</v>
      </c>
      <c r="C27" s="2">
        <v>5</v>
      </c>
      <c r="D27" s="2">
        <v>2</v>
      </c>
      <c r="I27" t="s">
        <v>60</v>
      </c>
      <c r="J27">
        <f>J26</f>
        <v>2</v>
      </c>
      <c r="K27">
        <f t="shared" ref="K27:M27" si="29">K26</f>
        <v>7</v>
      </c>
      <c r="L27">
        <f t="shared" si="29"/>
        <v>29</v>
      </c>
      <c r="M27">
        <f t="shared" si="29"/>
        <v>32</v>
      </c>
      <c r="N27">
        <f>F15-N26</f>
        <v>42</v>
      </c>
      <c r="O27">
        <f t="shared" si="8"/>
        <v>545664</v>
      </c>
      <c r="P27" s="7">
        <f t="shared" si="2"/>
        <v>4.577020202020202E-3</v>
      </c>
      <c r="Q27" s="7">
        <f t="shared" si="3"/>
        <v>9.1540404040404033E-2</v>
      </c>
      <c r="R27" s="7">
        <f>Q27*C30</f>
        <v>0.45770202020202017</v>
      </c>
      <c r="S27" s="7">
        <f t="shared" si="4"/>
        <v>4.5770202020202017E-2</v>
      </c>
      <c r="U27" s="7">
        <v>4.5066870000000002E-2</v>
      </c>
      <c r="V27" s="10">
        <f t="shared" si="5"/>
        <v>7.0333202020201463E-4</v>
      </c>
      <c r="W27" s="7"/>
    </row>
    <row r="28" spans="1:23">
      <c r="A28" t="s">
        <v>10</v>
      </c>
      <c r="B28" s="2">
        <v>25</v>
      </c>
      <c r="C28" s="2">
        <v>5</v>
      </c>
      <c r="D28" s="2">
        <v>2</v>
      </c>
      <c r="I28" t="s">
        <v>61</v>
      </c>
      <c r="J28">
        <f>J26</f>
        <v>2</v>
      </c>
      <c r="K28">
        <f t="shared" ref="K28:L28" si="30">K26</f>
        <v>7</v>
      </c>
      <c r="L28">
        <f t="shared" si="30"/>
        <v>29</v>
      </c>
      <c r="M28">
        <f>E15-M26</f>
        <v>16</v>
      </c>
      <c r="N28">
        <f>F15</f>
        <v>48</v>
      </c>
      <c r="O28">
        <f t="shared" si="8"/>
        <v>311808</v>
      </c>
      <c r="P28" s="7">
        <f t="shared" si="2"/>
        <v>2.6154401154401155E-3</v>
      </c>
      <c r="Q28" s="7">
        <f t="shared" si="3"/>
        <v>5.2308802308802312E-2</v>
      </c>
      <c r="R28" s="7">
        <f>Q28*D30</f>
        <v>0.10461760461760462</v>
      </c>
      <c r="S28" s="7">
        <f t="shared" si="4"/>
        <v>1.0461760461760462E-2</v>
      </c>
      <c r="U28" s="7">
        <v>1.0308826E-2</v>
      </c>
      <c r="V28" s="10">
        <f t="shared" si="5"/>
        <v>1.5293446176046187E-4</v>
      </c>
      <c r="W28" s="7"/>
    </row>
    <row r="29" spans="1:23">
      <c r="A29" t="s">
        <v>11</v>
      </c>
      <c r="B29" s="2">
        <v>25</v>
      </c>
      <c r="C29" s="2">
        <v>5</v>
      </c>
      <c r="D29" s="2">
        <v>2</v>
      </c>
      <c r="S29" s="7">
        <f>SUM(S2:S28)</f>
        <v>1.1631038542310865</v>
      </c>
      <c r="U29" s="7">
        <f>SUM(U2:U28)</f>
        <v>1.1498100979999999</v>
      </c>
      <c r="V29" s="10">
        <f t="shared" si="5"/>
        <v>1.329375623108664E-2</v>
      </c>
      <c r="W29" s="7"/>
    </row>
    <row r="30" spans="1:23">
      <c r="A30" t="s">
        <v>12</v>
      </c>
      <c r="B30" s="2">
        <v>25</v>
      </c>
      <c r="C30" s="2">
        <v>5</v>
      </c>
      <c r="D30" s="2">
        <v>2</v>
      </c>
    </row>
    <row r="31" spans="1:23">
      <c r="B31" s="2"/>
      <c r="C31" s="2"/>
      <c r="D31" s="2"/>
    </row>
    <row r="35" spans="20:21">
      <c r="T35" s="7"/>
    </row>
    <row r="36" spans="20:21">
      <c r="U36" s="7"/>
    </row>
    <row r="37" spans="20:21">
      <c r="U37" s="7"/>
    </row>
  </sheetData>
  <mergeCells count="1">
    <mergeCell ref="A1:F1"/>
  </mergeCells>
  <pageMargins left="0.7" right="0.7" top="0.75" bottom="0.75" header="0.3" footer="0.3"/>
  <ignoredErrors>
    <ignoredError sqref="J11:L11 J14:L1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78D64-035F-405C-912C-7E907B689A86}">
  <dimension ref="A1:W41"/>
  <sheetViews>
    <sheetView workbookViewId="0">
      <selection sqref="A1:S34"/>
    </sheetView>
  </sheetViews>
  <sheetFormatPr defaultRowHeight="14.5"/>
  <cols>
    <col min="1" max="1" width="10.6328125" customWidth="1"/>
    <col min="2" max="2" width="10.7265625" bestFit="1" customWidth="1"/>
    <col min="3" max="3" width="9.81640625" bestFit="1" customWidth="1"/>
    <col min="8" max="8" width="9.54296875" customWidth="1"/>
    <col min="9" max="9" width="19.7265625" customWidth="1"/>
    <col min="16" max="16" width="12.81640625" customWidth="1"/>
    <col min="17" max="17" width="13.81640625" customWidth="1"/>
    <col min="18" max="18" width="14.453125" customWidth="1"/>
    <col min="19" max="19" width="14.26953125" customWidth="1"/>
    <col min="20" max="20" width="29.453125" customWidth="1"/>
    <col min="21" max="21" width="9.81640625" bestFit="1" customWidth="1"/>
    <col min="22" max="22" width="15.81640625" customWidth="1"/>
    <col min="23" max="23" width="9.453125" bestFit="1" customWidth="1"/>
  </cols>
  <sheetData>
    <row r="1" spans="1:23">
      <c r="A1" s="53" t="s">
        <v>13</v>
      </c>
      <c r="B1" s="53" t="s">
        <v>13</v>
      </c>
      <c r="C1" s="53" t="s">
        <v>13</v>
      </c>
      <c r="D1" s="53" t="s">
        <v>13</v>
      </c>
      <c r="E1" s="53" t="s">
        <v>13</v>
      </c>
      <c r="F1" s="53" t="s">
        <v>13</v>
      </c>
      <c r="I1" s="3" t="s">
        <v>23</v>
      </c>
      <c r="J1" s="3" t="s">
        <v>24</v>
      </c>
      <c r="K1" s="3" t="s">
        <v>25</v>
      </c>
      <c r="L1" s="3" t="s">
        <v>26</v>
      </c>
      <c r="M1" s="3" t="s">
        <v>27</v>
      </c>
      <c r="N1" s="3" t="s">
        <v>28</v>
      </c>
      <c r="O1" s="3" t="s">
        <v>31</v>
      </c>
      <c r="P1" s="3" t="s">
        <v>62</v>
      </c>
      <c r="Q1" s="3" t="s">
        <v>63</v>
      </c>
      <c r="R1" s="3" t="s">
        <v>32</v>
      </c>
      <c r="S1" s="3" t="s">
        <v>35</v>
      </c>
      <c r="U1" s="3" t="s">
        <v>64</v>
      </c>
      <c r="V1" s="3" t="s">
        <v>65</v>
      </c>
    </row>
    <row r="2" spans="1:23">
      <c r="A2" s="1" t="s">
        <v>0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I2" s="12" t="s">
        <v>29</v>
      </c>
      <c r="J2" s="8">
        <f>B3+B4</f>
        <v>2</v>
      </c>
      <c r="K2" s="8">
        <f t="shared" ref="K2:N2" si="0">C3+C4</f>
        <v>1</v>
      </c>
      <c r="L2" s="8">
        <f t="shared" si="0"/>
        <v>9</v>
      </c>
      <c r="M2" s="8">
        <f t="shared" si="0"/>
        <v>32</v>
      </c>
      <c r="N2" s="8">
        <f t="shared" si="0"/>
        <v>3</v>
      </c>
      <c r="O2" s="8">
        <f>PRODUCT(J2:N2)</f>
        <v>1728</v>
      </c>
      <c r="P2" s="9">
        <f t="shared" ref="P2:P28" si="1">O2/$B$19</f>
        <v>2.7316433566433566E-5</v>
      </c>
      <c r="Q2" s="9">
        <f t="shared" ref="Q2:Q28" si="2">P2*$A$22</f>
        <v>5.4632867132867137E-4</v>
      </c>
      <c r="R2" s="9">
        <f>Q2*B25</f>
        <v>4.0974650349650352E-2</v>
      </c>
      <c r="S2" s="9">
        <f t="shared" ref="S2:S28" si="3">R2/$B$22</f>
        <v>4.097465034965035E-3</v>
      </c>
      <c r="U2" s="7">
        <v>4.1210999999999999E-3</v>
      </c>
      <c r="V2" s="10">
        <f>S2-U2</f>
        <v>-2.3634965034964941E-5</v>
      </c>
      <c r="W2" s="7"/>
    </row>
    <row r="3" spans="1:23">
      <c r="A3" t="s">
        <v>19</v>
      </c>
      <c r="B3">
        <v>0</v>
      </c>
      <c r="C3">
        <v>1</v>
      </c>
      <c r="D3">
        <v>3</v>
      </c>
      <c r="E3">
        <v>28</v>
      </c>
      <c r="F3">
        <v>0</v>
      </c>
      <c r="I3" t="s">
        <v>36</v>
      </c>
      <c r="J3">
        <f>J2</f>
        <v>2</v>
      </c>
      <c r="K3">
        <f t="shared" ref="K3:M3" si="4">K2</f>
        <v>1</v>
      </c>
      <c r="L3">
        <f t="shared" si="4"/>
        <v>9</v>
      </c>
      <c r="M3">
        <f t="shared" si="4"/>
        <v>32</v>
      </c>
      <c r="N3">
        <f>F18-N2</f>
        <v>45</v>
      </c>
      <c r="O3">
        <f>PRODUCT(J3:N3)</f>
        <v>25920</v>
      </c>
      <c r="P3" s="7">
        <f t="shared" si="1"/>
        <v>4.097465034965035E-4</v>
      </c>
      <c r="Q3" s="7">
        <f t="shared" si="2"/>
        <v>8.19493006993007E-3</v>
      </c>
      <c r="R3" s="7">
        <f>Q3*C25</f>
        <v>0.20487325174825174</v>
      </c>
      <c r="S3" s="7">
        <f t="shared" si="3"/>
        <v>2.0487325174825176E-2</v>
      </c>
      <c r="U3" s="7">
        <v>2.0463525E-2</v>
      </c>
      <c r="V3" s="10">
        <f t="shared" ref="V3:V29" si="5">S3-U3</f>
        <v>2.3800174825176074E-5</v>
      </c>
      <c r="W3" s="7"/>
    </row>
    <row r="4" spans="1:23">
      <c r="A4" t="s">
        <v>4</v>
      </c>
      <c r="B4">
        <v>2</v>
      </c>
      <c r="C4">
        <v>0</v>
      </c>
      <c r="D4">
        <v>6</v>
      </c>
      <c r="E4">
        <v>4</v>
      </c>
      <c r="F4">
        <v>3</v>
      </c>
      <c r="I4" t="s">
        <v>37</v>
      </c>
      <c r="J4">
        <f>J2</f>
        <v>2</v>
      </c>
      <c r="K4">
        <f t="shared" ref="K4:L4" si="6">K2</f>
        <v>1</v>
      </c>
      <c r="L4">
        <f t="shared" si="6"/>
        <v>9</v>
      </c>
      <c r="M4">
        <f>E18-M2</f>
        <v>16</v>
      </c>
      <c r="N4">
        <v>48</v>
      </c>
      <c r="O4">
        <f>PRODUCT(J4:N4)</f>
        <v>13824</v>
      </c>
      <c r="P4" s="7">
        <f t="shared" si="1"/>
        <v>2.1853146853146853E-4</v>
      </c>
      <c r="Q4" s="7">
        <f t="shared" si="2"/>
        <v>4.370629370629371E-3</v>
      </c>
      <c r="R4" s="7">
        <f>Q4*D25</f>
        <v>8.7412587412587419E-3</v>
      </c>
      <c r="S4" s="7">
        <f t="shared" si="3"/>
        <v>8.7412587412587423E-4</v>
      </c>
      <c r="T4" s="13"/>
      <c r="U4" s="7">
        <v>8.7169600000000004E-4</v>
      </c>
      <c r="V4" s="10">
        <f t="shared" si="5"/>
        <v>2.4298741258741959E-6</v>
      </c>
      <c r="W4" s="7"/>
    </row>
    <row r="5" spans="1:23">
      <c r="A5" t="s">
        <v>5</v>
      </c>
      <c r="B5">
        <v>3</v>
      </c>
      <c r="C5">
        <v>0</v>
      </c>
      <c r="D5">
        <v>4</v>
      </c>
      <c r="E5">
        <v>4</v>
      </c>
      <c r="F5">
        <v>4</v>
      </c>
      <c r="I5" s="12" t="s">
        <v>38</v>
      </c>
      <c r="J5" s="8">
        <f>B3+B5</f>
        <v>3</v>
      </c>
      <c r="K5" s="8">
        <f t="shared" ref="K5:N5" si="7">C3+C5</f>
        <v>1</v>
      </c>
      <c r="L5" s="8">
        <f t="shared" si="7"/>
        <v>7</v>
      </c>
      <c r="M5" s="8">
        <f t="shared" si="7"/>
        <v>32</v>
      </c>
      <c r="N5" s="8">
        <f t="shared" si="7"/>
        <v>4</v>
      </c>
      <c r="O5" s="8">
        <f t="shared" ref="O5:O28" si="8">PRODUCT(J5:N5)</f>
        <v>2688</v>
      </c>
      <c r="P5" s="9">
        <f t="shared" si="1"/>
        <v>4.2492229992229992E-5</v>
      </c>
      <c r="Q5" s="9">
        <f t="shared" si="2"/>
        <v>8.4984459984459987E-4</v>
      </c>
      <c r="R5" s="9">
        <f>Q5*B26</f>
        <v>4.2492229992229992E-2</v>
      </c>
      <c r="S5" s="9">
        <f t="shared" si="3"/>
        <v>4.249222999222999E-3</v>
      </c>
      <c r="U5" s="7">
        <v>4.2929500000000002E-3</v>
      </c>
      <c r="V5" s="10">
        <f t="shared" si="5"/>
        <v>-4.3727000777001208E-5</v>
      </c>
      <c r="W5" s="7"/>
    </row>
    <row r="6" spans="1:23">
      <c r="A6" t="s">
        <v>6</v>
      </c>
      <c r="B6">
        <v>3</v>
      </c>
      <c r="C6">
        <v>0</v>
      </c>
      <c r="D6">
        <v>0</v>
      </c>
      <c r="E6">
        <v>0</v>
      </c>
      <c r="F6">
        <v>6</v>
      </c>
      <c r="I6" t="s">
        <v>39</v>
      </c>
      <c r="J6">
        <f>J5</f>
        <v>3</v>
      </c>
      <c r="K6">
        <f t="shared" ref="K6:M6" si="9">K5</f>
        <v>1</v>
      </c>
      <c r="L6">
        <f t="shared" si="9"/>
        <v>7</v>
      </c>
      <c r="M6">
        <f t="shared" si="9"/>
        <v>32</v>
      </c>
      <c r="N6">
        <f>F18-N5</f>
        <v>44</v>
      </c>
      <c r="O6">
        <f t="shared" si="8"/>
        <v>29568</v>
      </c>
      <c r="P6" s="7">
        <f t="shared" si="1"/>
        <v>4.6741452991452993E-4</v>
      </c>
      <c r="Q6" s="7">
        <f t="shared" si="2"/>
        <v>9.348290598290598E-3</v>
      </c>
      <c r="R6" s="7">
        <f>Q6*C26</f>
        <v>0.11217948717948717</v>
      </c>
      <c r="S6" s="7">
        <f t="shared" si="3"/>
        <v>1.1217948717948716E-2</v>
      </c>
      <c r="U6" s="7">
        <v>1.1234015999999999E-2</v>
      </c>
      <c r="V6" s="10">
        <f t="shared" si="5"/>
        <v>-1.6067282051283188E-5</v>
      </c>
      <c r="W6" s="7"/>
    </row>
    <row r="7" spans="1:23">
      <c r="A7" t="s">
        <v>7</v>
      </c>
      <c r="B7">
        <v>2</v>
      </c>
      <c r="C7">
        <v>8</v>
      </c>
      <c r="D7">
        <v>2</v>
      </c>
      <c r="E7">
        <v>0</v>
      </c>
      <c r="F7">
        <v>6</v>
      </c>
      <c r="I7" t="s">
        <v>40</v>
      </c>
      <c r="J7">
        <f>J5</f>
        <v>3</v>
      </c>
      <c r="K7">
        <f t="shared" ref="K7:L7" si="10">K5</f>
        <v>1</v>
      </c>
      <c r="L7">
        <f t="shared" si="10"/>
        <v>7</v>
      </c>
      <c r="M7">
        <f>$E$18-$E$3-$E$5</f>
        <v>16</v>
      </c>
      <c r="N7">
        <f>F18</f>
        <v>48</v>
      </c>
      <c r="O7">
        <f t="shared" si="8"/>
        <v>16128</v>
      </c>
      <c r="P7" s="7">
        <f t="shared" si="1"/>
        <v>2.5495337995337994E-4</v>
      </c>
      <c r="Q7" s="7">
        <f t="shared" si="2"/>
        <v>5.099067599067599E-3</v>
      </c>
      <c r="R7" s="7">
        <f>Q7*D26</f>
        <v>1.0198135198135198E-2</v>
      </c>
      <c r="S7" s="7">
        <f t="shared" si="3"/>
        <v>1.0198135198135198E-3</v>
      </c>
      <c r="U7" s="7">
        <v>1.0216979999999999E-3</v>
      </c>
      <c r="V7" s="10">
        <f t="shared" si="5"/>
        <v>-1.8844801864801621E-6</v>
      </c>
      <c r="W7" s="7"/>
    </row>
    <row r="8" spans="1:23">
      <c r="A8" t="s">
        <v>8</v>
      </c>
      <c r="B8">
        <v>4</v>
      </c>
      <c r="C8">
        <v>8</v>
      </c>
      <c r="D8">
        <v>4</v>
      </c>
      <c r="E8">
        <v>6</v>
      </c>
      <c r="F8">
        <v>5</v>
      </c>
      <c r="I8" s="8" t="s">
        <v>41</v>
      </c>
      <c r="J8" s="8">
        <f>B3+B6</f>
        <v>3</v>
      </c>
      <c r="K8" s="8">
        <f t="shared" ref="K8:N8" si="11">C3+C6</f>
        <v>1</v>
      </c>
      <c r="L8" s="8">
        <f t="shared" si="11"/>
        <v>3</v>
      </c>
      <c r="M8" s="8">
        <f t="shared" si="11"/>
        <v>28</v>
      </c>
      <c r="N8" s="8">
        <f t="shared" si="11"/>
        <v>6</v>
      </c>
      <c r="O8" s="8">
        <f t="shared" si="8"/>
        <v>1512</v>
      </c>
      <c r="P8" s="9">
        <f t="shared" si="1"/>
        <v>2.3901879370629371E-5</v>
      </c>
      <c r="Q8" s="9">
        <f t="shared" si="2"/>
        <v>4.7803758741258743E-4</v>
      </c>
      <c r="R8" s="9">
        <f>Q8*B27</f>
        <v>2.3901879370629372E-2</v>
      </c>
      <c r="S8" s="9">
        <f t="shared" si="3"/>
        <v>2.390187937062937E-3</v>
      </c>
      <c r="U8" s="7">
        <v>2.3907500000000001E-3</v>
      </c>
      <c r="V8" s="10">
        <f t="shared" si="5"/>
        <v>-5.6206293706307156E-7</v>
      </c>
      <c r="W8" s="7"/>
    </row>
    <row r="9" spans="1:23">
      <c r="A9" t="s">
        <v>9</v>
      </c>
      <c r="B9">
        <v>7</v>
      </c>
      <c r="C9">
        <v>2</v>
      </c>
      <c r="D9">
        <v>2</v>
      </c>
      <c r="E9">
        <v>0</v>
      </c>
      <c r="F9">
        <v>6</v>
      </c>
      <c r="I9" t="s">
        <v>42</v>
      </c>
      <c r="J9">
        <f>J8</f>
        <v>3</v>
      </c>
      <c r="K9">
        <f t="shared" ref="K9:M10" si="12">K8</f>
        <v>1</v>
      </c>
      <c r="L9">
        <f t="shared" si="12"/>
        <v>3</v>
      </c>
      <c r="M9">
        <f t="shared" si="12"/>
        <v>28</v>
      </c>
      <c r="N9">
        <f>F18-N8</f>
        <v>42</v>
      </c>
      <c r="O9">
        <f t="shared" si="8"/>
        <v>10584</v>
      </c>
      <c r="P9" s="7">
        <f t="shared" si="1"/>
        <v>1.6731315559440559E-4</v>
      </c>
      <c r="Q9" s="7">
        <f t="shared" si="2"/>
        <v>3.346263111888112E-3</v>
      </c>
      <c r="R9" s="7">
        <f>Q9*C27</f>
        <v>4.0155157342657344E-2</v>
      </c>
      <c r="S9" s="7">
        <f t="shared" si="3"/>
        <v>4.015515734265734E-3</v>
      </c>
      <c r="U9" s="7">
        <v>4.0027680000000003E-3</v>
      </c>
      <c r="V9" s="10">
        <f t="shared" si="5"/>
        <v>1.2747734265733737E-5</v>
      </c>
      <c r="W9" s="7"/>
    </row>
    <row r="10" spans="1:23">
      <c r="A10" t="s">
        <v>10</v>
      </c>
      <c r="B10">
        <v>7</v>
      </c>
      <c r="C10">
        <v>2</v>
      </c>
      <c r="D10">
        <v>2</v>
      </c>
      <c r="E10">
        <v>2</v>
      </c>
      <c r="F10">
        <v>6</v>
      </c>
      <c r="I10" t="s">
        <v>43</v>
      </c>
      <c r="J10">
        <f>J9</f>
        <v>3</v>
      </c>
      <c r="K10">
        <f t="shared" si="12"/>
        <v>1</v>
      </c>
      <c r="L10">
        <f t="shared" si="12"/>
        <v>3</v>
      </c>
      <c r="M10">
        <f>E18-M9</f>
        <v>20</v>
      </c>
      <c r="N10">
        <f>F18</f>
        <v>48</v>
      </c>
      <c r="O10">
        <f t="shared" si="8"/>
        <v>8640</v>
      </c>
      <c r="P10" s="7">
        <f t="shared" si="1"/>
        <v>1.3658216783216784E-4</v>
      </c>
      <c r="Q10" s="7">
        <f t="shared" si="2"/>
        <v>2.731643356643357E-3</v>
      </c>
      <c r="R10" s="7">
        <f>Q10*D27</f>
        <v>5.4632867132867139E-3</v>
      </c>
      <c r="S10" s="7">
        <f t="shared" si="3"/>
        <v>5.4632867132867137E-4</v>
      </c>
      <c r="U10" s="7">
        <v>5.4584200000000005E-4</v>
      </c>
      <c r="V10" s="10">
        <f t="shared" si="5"/>
        <v>4.8667132867131861E-7</v>
      </c>
      <c r="W10" s="7"/>
    </row>
    <row r="11" spans="1:23">
      <c r="A11" t="s">
        <v>11</v>
      </c>
      <c r="B11">
        <v>2</v>
      </c>
      <c r="C11">
        <v>6</v>
      </c>
      <c r="D11">
        <v>0</v>
      </c>
      <c r="E11">
        <v>0</v>
      </c>
      <c r="F11">
        <v>6</v>
      </c>
      <c r="I11" s="8" t="s">
        <v>44</v>
      </c>
      <c r="J11" s="8">
        <f>B3+B7</f>
        <v>2</v>
      </c>
      <c r="K11" s="8">
        <f t="shared" ref="K11:N11" si="13">C3+C7</f>
        <v>9</v>
      </c>
      <c r="L11" s="8">
        <f t="shared" si="13"/>
        <v>5</v>
      </c>
      <c r="M11" s="8">
        <f t="shared" si="13"/>
        <v>28</v>
      </c>
      <c r="N11" s="8">
        <f t="shared" si="13"/>
        <v>6</v>
      </c>
      <c r="O11" s="8">
        <f t="shared" si="8"/>
        <v>15120</v>
      </c>
      <c r="P11" s="9">
        <f t="shared" si="1"/>
        <v>2.3901879370629372E-4</v>
      </c>
      <c r="Q11" s="9">
        <f t="shared" si="2"/>
        <v>4.780375874125874E-3</v>
      </c>
      <c r="R11" s="9">
        <f>Q11*B28</f>
        <v>0.2390187937062937</v>
      </c>
      <c r="S11" s="9">
        <f t="shared" si="3"/>
        <v>2.3901879370629368E-2</v>
      </c>
      <c r="U11" s="7">
        <v>2.3903649999999999E-2</v>
      </c>
      <c r="V11" s="10">
        <f t="shared" si="5"/>
        <v>-1.7706293706301612E-6</v>
      </c>
      <c r="W11" s="7"/>
    </row>
    <row r="12" spans="1:23">
      <c r="A12" t="s">
        <v>12</v>
      </c>
      <c r="B12">
        <v>2</v>
      </c>
      <c r="C12">
        <v>6</v>
      </c>
      <c r="D12">
        <v>0</v>
      </c>
      <c r="E12">
        <v>4</v>
      </c>
      <c r="F12">
        <v>6</v>
      </c>
      <c r="I12" t="s">
        <v>45</v>
      </c>
      <c r="J12">
        <f>J11</f>
        <v>2</v>
      </c>
      <c r="K12">
        <f t="shared" ref="K12:M13" si="14">K11</f>
        <v>9</v>
      </c>
      <c r="L12">
        <f t="shared" si="14"/>
        <v>5</v>
      </c>
      <c r="M12">
        <f t="shared" si="14"/>
        <v>28</v>
      </c>
      <c r="N12">
        <f>F18-N11</f>
        <v>42</v>
      </c>
      <c r="O12">
        <f t="shared" si="8"/>
        <v>105840</v>
      </c>
      <c r="P12" s="7">
        <f t="shared" si="1"/>
        <v>1.673131555944056E-3</v>
      </c>
      <c r="Q12" s="7">
        <f t="shared" si="2"/>
        <v>3.346263111888112E-2</v>
      </c>
      <c r="R12" s="7">
        <f>Q12*C28</f>
        <v>0.40155157342657344</v>
      </c>
      <c r="S12" s="7">
        <f t="shared" si="3"/>
        <v>4.0155157342657344E-2</v>
      </c>
      <c r="U12" s="7">
        <v>4.0128372000000002E-2</v>
      </c>
      <c r="V12" s="10">
        <f t="shared" si="5"/>
        <v>2.6785342657341393E-5</v>
      </c>
      <c r="W12" s="7"/>
    </row>
    <row r="13" spans="1:23">
      <c r="A13" t="s">
        <v>20</v>
      </c>
      <c r="B13">
        <v>0</v>
      </c>
      <c r="C13">
        <v>0</v>
      </c>
      <c r="D13">
        <v>0</v>
      </c>
      <c r="E13">
        <v>0</v>
      </c>
      <c r="F13">
        <v>0</v>
      </c>
      <c r="I13" t="s">
        <v>46</v>
      </c>
      <c r="J13">
        <f>J12</f>
        <v>2</v>
      </c>
      <c r="K13">
        <f t="shared" si="14"/>
        <v>9</v>
      </c>
      <c r="L13">
        <f t="shared" si="14"/>
        <v>5</v>
      </c>
      <c r="M13">
        <f>E18-M11</f>
        <v>20</v>
      </c>
      <c r="N13">
        <f>F18</f>
        <v>48</v>
      </c>
      <c r="O13">
        <f t="shared" si="8"/>
        <v>86400</v>
      </c>
      <c r="P13" s="7">
        <f t="shared" si="1"/>
        <v>1.3658216783216783E-3</v>
      </c>
      <c r="Q13" s="7">
        <f t="shared" si="2"/>
        <v>2.7316433566433564E-2</v>
      </c>
      <c r="R13" s="7">
        <f>Q13*D28</f>
        <v>5.4632867132867129E-2</v>
      </c>
      <c r="S13" s="7">
        <f t="shared" si="3"/>
        <v>5.463286713286713E-3</v>
      </c>
      <c r="U13" s="7">
        <v>5.4667320000000002E-3</v>
      </c>
      <c r="V13" s="10">
        <f t="shared" si="5"/>
        <v>-3.4452867132871504E-6</v>
      </c>
      <c r="W13" s="7"/>
    </row>
    <row r="14" spans="1:23">
      <c r="A14" t="s">
        <v>21</v>
      </c>
      <c r="B14">
        <v>0</v>
      </c>
      <c r="C14">
        <v>0</v>
      </c>
      <c r="D14">
        <v>3</v>
      </c>
      <c r="E14">
        <v>0</v>
      </c>
      <c r="F14">
        <v>0</v>
      </c>
      <c r="I14" s="8" t="s">
        <v>47</v>
      </c>
      <c r="J14" s="8">
        <f>B3+B8</f>
        <v>4</v>
      </c>
      <c r="K14" s="8">
        <f t="shared" ref="K14:N14" si="15">C3+C8</f>
        <v>9</v>
      </c>
      <c r="L14" s="8">
        <f t="shared" si="15"/>
        <v>7</v>
      </c>
      <c r="M14" s="8">
        <f t="shared" si="15"/>
        <v>34</v>
      </c>
      <c r="N14" s="8">
        <f t="shared" si="15"/>
        <v>5</v>
      </c>
      <c r="O14" s="8">
        <f t="shared" si="8"/>
        <v>42840</v>
      </c>
      <c r="P14" s="9">
        <f t="shared" si="1"/>
        <v>6.772199155011655E-4</v>
      </c>
      <c r="Q14" s="9">
        <f t="shared" si="2"/>
        <v>1.354439831002331E-2</v>
      </c>
      <c r="R14" s="9">
        <f>Q14*B29</f>
        <v>0.54177593240093236</v>
      </c>
      <c r="S14" s="9">
        <f t="shared" si="3"/>
        <v>5.4177593240093233E-2</v>
      </c>
      <c r="U14" s="7">
        <v>5.4107839999999997E-2</v>
      </c>
      <c r="V14" s="10">
        <f t="shared" si="5"/>
        <v>6.9753240093235747E-5</v>
      </c>
      <c r="W14" s="7"/>
    </row>
    <row r="15" spans="1:23">
      <c r="A15" t="s">
        <v>68</v>
      </c>
      <c r="B15">
        <v>0</v>
      </c>
      <c r="C15">
        <v>0</v>
      </c>
      <c r="D15">
        <v>0</v>
      </c>
      <c r="E15">
        <v>0</v>
      </c>
      <c r="F15">
        <v>0</v>
      </c>
      <c r="I15" t="s">
        <v>48</v>
      </c>
      <c r="J15">
        <f>J14</f>
        <v>4</v>
      </c>
      <c r="K15">
        <f>K14</f>
        <v>9</v>
      </c>
      <c r="L15">
        <f>L14</f>
        <v>7</v>
      </c>
      <c r="M15">
        <f>M14</f>
        <v>34</v>
      </c>
      <c r="N15">
        <f>F18-N14</f>
        <v>43</v>
      </c>
      <c r="O15">
        <f t="shared" si="8"/>
        <v>368424</v>
      </c>
      <c r="P15" s="7">
        <f t="shared" si="1"/>
        <v>5.824091273310023E-3</v>
      </c>
      <c r="Q15" s="7">
        <f t="shared" si="2"/>
        <v>0.11648182546620046</v>
      </c>
      <c r="R15" s="7">
        <f>Q15*C29</f>
        <v>0.81537277826340326</v>
      </c>
      <c r="S15" s="7">
        <f t="shared" si="3"/>
        <v>8.1537277826340321E-2</v>
      </c>
      <c r="U15" s="7">
        <v>8.1502518999999995E-2</v>
      </c>
      <c r="V15" s="10">
        <f t="shared" si="5"/>
        <v>3.4758826340325344E-5</v>
      </c>
      <c r="W15" s="7"/>
    </row>
    <row r="16" spans="1:23">
      <c r="A16" t="s">
        <v>69</v>
      </c>
      <c r="B16">
        <v>0</v>
      </c>
      <c r="C16">
        <v>0</v>
      </c>
      <c r="D16">
        <v>0</v>
      </c>
      <c r="E16">
        <v>0</v>
      </c>
      <c r="F16">
        <v>0</v>
      </c>
      <c r="I16" t="s">
        <v>49</v>
      </c>
      <c r="J16">
        <f>J14</f>
        <v>4</v>
      </c>
      <c r="K16">
        <f>K14</f>
        <v>9</v>
      </c>
      <c r="L16">
        <f>L14</f>
        <v>7</v>
      </c>
      <c r="M16">
        <f>E18-M14</f>
        <v>14</v>
      </c>
      <c r="N16">
        <f>F18</f>
        <v>48</v>
      </c>
      <c r="O16">
        <f t="shared" si="8"/>
        <v>169344</v>
      </c>
      <c r="P16" s="7">
        <f t="shared" si="1"/>
        <v>2.6770104895104895E-3</v>
      </c>
      <c r="Q16" s="7">
        <f t="shared" si="2"/>
        <v>5.3540209790209792E-2</v>
      </c>
      <c r="R16" s="7">
        <f>Q16*D29</f>
        <v>0.10708041958041958</v>
      </c>
      <c r="S16" s="7">
        <f t="shared" si="3"/>
        <v>1.0708041958041958E-2</v>
      </c>
      <c r="U16" s="7">
        <v>1.0700866E-2</v>
      </c>
      <c r="V16" s="10">
        <f t="shared" si="5"/>
        <v>7.1759580419581553E-6</v>
      </c>
      <c r="W16" s="7"/>
    </row>
    <row r="17" spans="1:23">
      <c r="A17" t="s">
        <v>70</v>
      </c>
      <c r="B17">
        <v>0</v>
      </c>
      <c r="C17">
        <v>0</v>
      </c>
      <c r="D17">
        <v>0</v>
      </c>
      <c r="E17">
        <v>0</v>
      </c>
      <c r="F17">
        <v>0</v>
      </c>
      <c r="I17" s="8" t="s">
        <v>50</v>
      </c>
      <c r="J17" s="8">
        <f>B3+B9</f>
        <v>7</v>
      </c>
      <c r="K17" s="8">
        <f>C3+C9</f>
        <v>3</v>
      </c>
      <c r="L17" s="8">
        <f>D3+D9</f>
        <v>5</v>
      </c>
      <c r="M17" s="8">
        <f>E3+E9</f>
        <v>28</v>
      </c>
      <c r="N17" s="8">
        <f>F3+F9</f>
        <v>6</v>
      </c>
      <c r="O17" s="8">
        <f t="shared" si="8"/>
        <v>17640</v>
      </c>
      <c r="P17" s="9">
        <f t="shared" si="1"/>
        <v>2.7885525932400931E-4</v>
      </c>
      <c r="Q17" s="9">
        <f t="shared" si="2"/>
        <v>5.5771051864801861E-3</v>
      </c>
      <c r="R17" s="9">
        <f>Q17*B30</f>
        <v>0.13942762966200464</v>
      </c>
      <c r="S17" s="9">
        <f t="shared" si="3"/>
        <v>1.3942762966200464E-2</v>
      </c>
      <c r="U17" s="7">
        <v>1.3933525E-2</v>
      </c>
      <c r="V17" s="10">
        <f t="shared" si="5"/>
        <v>9.237966200463868E-6</v>
      </c>
      <c r="W17" s="7"/>
    </row>
    <row r="18" spans="1:23">
      <c r="A18" s="1" t="s">
        <v>22</v>
      </c>
      <c r="B18" s="5">
        <f>SUM(B3:B17)</f>
        <v>32</v>
      </c>
      <c r="C18" s="5">
        <f>SUM(C3:C17)</f>
        <v>33</v>
      </c>
      <c r="D18" s="5">
        <f>SUM(D3:D17)</f>
        <v>26</v>
      </c>
      <c r="E18" s="5">
        <f>SUM(E3:E17)</f>
        <v>48</v>
      </c>
      <c r="F18" s="5">
        <f>SUM(F3:F17)</f>
        <v>48</v>
      </c>
      <c r="I18" t="s">
        <v>51</v>
      </c>
      <c r="J18">
        <f>J17</f>
        <v>7</v>
      </c>
      <c r="K18">
        <f t="shared" ref="K18:M18" si="16">K17</f>
        <v>3</v>
      </c>
      <c r="L18">
        <f t="shared" si="16"/>
        <v>5</v>
      </c>
      <c r="M18">
        <f t="shared" si="16"/>
        <v>28</v>
      </c>
      <c r="N18">
        <f>F18-N17</f>
        <v>42</v>
      </c>
      <c r="O18">
        <f t="shared" si="8"/>
        <v>123480</v>
      </c>
      <c r="P18" s="7">
        <f t="shared" si="1"/>
        <v>1.9519868152680653E-3</v>
      </c>
      <c r="Q18" s="7">
        <f t="shared" si="2"/>
        <v>3.9039736305361304E-2</v>
      </c>
      <c r="R18" s="7">
        <f>Q18*C30</f>
        <v>0.19519868152680653</v>
      </c>
      <c r="S18" s="7">
        <f t="shared" si="3"/>
        <v>1.9519868152680652E-2</v>
      </c>
      <c r="U18" s="7">
        <v>1.9495525E-2</v>
      </c>
      <c r="V18" s="10">
        <f t="shared" si="5"/>
        <v>2.434315268065243E-5</v>
      </c>
      <c r="W18" s="7"/>
    </row>
    <row r="19" spans="1:23">
      <c r="A19" s="4" t="s">
        <v>33</v>
      </c>
      <c r="B19" s="6">
        <f>PRODUCT(B18:F18)</f>
        <v>63258624</v>
      </c>
      <c r="I19" t="s">
        <v>52</v>
      </c>
      <c r="J19">
        <f>J17</f>
        <v>7</v>
      </c>
      <c r="K19">
        <f t="shared" ref="K19:L19" si="17">K17</f>
        <v>3</v>
      </c>
      <c r="L19">
        <f t="shared" si="17"/>
        <v>5</v>
      </c>
      <c r="M19">
        <f>E18-M17</f>
        <v>20</v>
      </c>
      <c r="N19">
        <f>F18</f>
        <v>48</v>
      </c>
      <c r="O19">
        <f t="shared" si="8"/>
        <v>100800</v>
      </c>
      <c r="P19" s="7">
        <f t="shared" si="1"/>
        <v>1.5934586247086247E-3</v>
      </c>
      <c r="Q19" s="7">
        <f t="shared" si="2"/>
        <v>3.1869172494172496E-2</v>
      </c>
      <c r="R19" s="7">
        <f>Q19*D30</f>
        <v>6.3738344988344992E-2</v>
      </c>
      <c r="S19" s="7">
        <f t="shared" si="3"/>
        <v>6.373834498834499E-3</v>
      </c>
      <c r="U19" s="7">
        <v>6.3724319999999999E-3</v>
      </c>
      <c r="V19" s="10">
        <f t="shared" si="5"/>
        <v>1.4024988344990552E-6</v>
      </c>
      <c r="W19" s="7"/>
    </row>
    <row r="20" spans="1:23">
      <c r="A20" s="11"/>
      <c r="B20" s="6"/>
      <c r="I20" s="8" t="s">
        <v>53</v>
      </c>
      <c r="J20" s="8">
        <f>B3+B10</f>
        <v>7</v>
      </c>
      <c r="K20" s="8">
        <f>C3+C10</f>
        <v>3</v>
      </c>
      <c r="L20" s="8">
        <f>D3+D10</f>
        <v>5</v>
      </c>
      <c r="M20" s="8">
        <f>E3+E10</f>
        <v>30</v>
      </c>
      <c r="N20" s="8">
        <f>F3+F10</f>
        <v>6</v>
      </c>
      <c r="O20" s="8">
        <f t="shared" si="8"/>
        <v>18900</v>
      </c>
      <c r="P20" s="9">
        <f t="shared" si="1"/>
        <v>2.9877349213286713E-4</v>
      </c>
      <c r="Q20" s="9">
        <f t="shared" si="2"/>
        <v>5.9754698426573421E-3</v>
      </c>
      <c r="R20" s="9">
        <f>Q20*B31</f>
        <v>0.14938674606643354</v>
      </c>
      <c r="S20" s="9">
        <f t="shared" si="3"/>
        <v>1.4938674606643354E-2</v>
      </c>
      <c r="U20" s="7">
        <v>1.4947475E-2</v>
      </c>
      <c r="V20" s="10">
        <f t="shared" si="5"/>
        <v>-8.8003933566456471E-6</v>
      </c>
      <c r="W20" s="7"/>
    </row>
    <row r="21" spans="1:23">
      <c r="A21" s="3" t="s">
        <v>30</v>
      </c>
      <c r="B21" s="3" t="s">
        <v>34</v>
      </c>
      <c r="I21" t="s">
        <v>54</v>
      </c>
      <c r="J21">
        <f>J20</f>
        <v>7</v>
      </c>
      <c r="K21">
        <f t="shared" ref="K21:M21" si="18">K20</f>
        <v>3</v>
      </c>
      <c r="L21">
        <f t="shared" si="18"/>
        <v>5</v>
      </c>
      <c r="M21">
        <f t="shared" si="18"/>
        <v>30</v>
      </c>
      <c r="N21">
        <f>F18-N20</f>
        <v>42</v>
      </c>
      <c r="O21">
        <f t="shared" si="8"/>
        <v>132300</v>
      </c>
      <c r="P21" s="7">
        <f t="shared" si="1"/>
        <v>2.09141444493007E-3</v>
      </c>
      <c r="Q21" s="7">
        <f t="shared" si="2"/>
        <v>4.18282888986014E-2</v>
      </c>
      <c r="R21" s="7">
        <f>Q21*C31</f>
        <v>0.20914144449300701</v>
      </c>
      <c r="S21" s="7">
        <f t="shared" si="3"/>
        <v>2.09141444493007E-2</v>
      </c>
      <c r="U21" s="7">
        <v>2.0911275E-2</v>
      </c>
      <c r="V21" s="10">
        <f t="shared" si="5"/>
        <v>2.8694493006999056E-6</v>
      </c>
      <c r="W21" s="7"/>
    </row>
    <row r="22" spans="1:23">
      <c r="A22">
        <v>20</v>
      </c>
      <c r="B22">
        <v>10</v>
      </c>
      <c r="I22" t="s">
        <v>55</v>
      </c>
      <c r="J22">
        <f>J20</f>
        <v>7</v>
      </c>
      <c r="K22">
        <f t="shared" ref="K22:L22" si="19">K20</f>
        <v>3</v>
      </c>
      <c r="L22">
        <f t="shared" si="19"/>
        <v>5</v>
      </c>
      <c r="M22">
        <f>E18-M20</f>
        <v>18</v>
      </c>
      <c r="N22">
        <f>F18</f>
        <v>48</v>
      </c>
      <c r="O22">
        <f t="shared" si="8"/>
        <v>90720</v>
      </c>
      <c r="P22" s="7">
        <f t="shared" si="1"/>
        <v>1.4341127622377622E-3</v>
      </c>
      <c r="Q22" s="7">
        <f t="shared" si="2"/>
        <v>2.8682255244755244E-2</v>
      </c>
      <c r="R22" s="7">
        <f>Q22*D31</f>
        <v>5.7364510489510488E-2</v>
      </c>
      <c r="S22" s="7">
        <f t="shared" si="3"/>
        <v>5.736451048951049E-3</v>
      </c>
      <c r="U22" s="7">
        <v>5.7385480000000004E-3</v>
      </c>
      <c r="V22" s="10">
        <f t="shared" si="5"/>
        <v>-2.0969510489514398E-6</v>
      </c>
      <c r="W22" s="7"/>
    </row>
    <row r="23" spans="1:23">
      <c r="I23" s="8" t="s">
        <v>56</v>
      </c>
      <c r="J23" s="8">
        <f>B3+B11</f>
        <v>2</v>
      </c>
      <c r="K23" s="8">
        <f>C3+C11</f>
        <v>7</v>
      </c>
      <c r="L23" s="8">
        <f>D3+D11</f>
        <v>3</v>
      </c>
      <c r="M23" s="8">
        <f>E3+E11</f>
        <v>28</v>
      </c>
      <c r="N23" s="8">
        <f>F3+F11</f>
        <v>6</v>
      </c>
      <c r="O23" s="8">
        <f t="shared" si="8"/>
        <v>7056</v>
      </c>
      <c r="P23" s="9">
        <f t="shared" si="1"/>
        <v>1.1154210372960373E-4</v>
      </c>
      <c r="Q23" s="9">
        <f t="shared" si="2"/>
        <v>2.2308420745920745E-3</v>
      </c>
      <c r="R23" s="9">
        <f>Q23*B32</f>
        <v>5.5771051864801864E-2</v>
      </c>
      <c r="S23" s="9">
        <f t="shared" si="3"/>
        <v>5.5771051864801861E-3</v>
      </c>
      <c r="U23" s="7">
        <v>5.5653999999999999E-3</v>
      </c>
      <c r="V23" s="10">
        <f t="shared" si="5"/>
        <v>1.1705186480186203E-5</v>
      </c>
      <c r="W23" s="7"/>
    </row>
    <row r="24" spans="1:23">
      <c r="A24" s="1" t="s">
        <v>0</v>
      </c>
      <c r="B24" s="1" t="s">
        <v>1</v>
      </c>
      <c r="C24" s="1" t="s">
        <v>2</v>
      </c>
      <c r="D24" s="1" t="s">
        <v>3</v>
      </c>
      <c r="I24" t="s">
        <v>57</v>
      </c>
      <c r="J24">
        <f>J23</f>
        <v>2</v>
      </c>
      <c r="K24">
        <f t="shared" ref="K24:M24" si="20">K23</f>
        <v>7</v>
      </c>
      <c r="L24">
        <f t="shared" si="20"/>
        <v>3</v>
      </c>
      <c r="M24">
        <f t="shared" si="20"/>
        <v>28</v>
      </c>
      <c r="N24">
        <f>F18-N23</f>
        <v>42</v>
      </c>
      <c r="O24">
        <f t="shared" si="8"/>
        <v>49392</v>
      </c>
      <c r="P24" s="7">
        <f t="shared" si="1"/>
        <v>7.8079472610722612E-4</v>
      </c>
      <c r="Q24" s="7">
        <f t="shared" si="2"/>
        <v>1.5615894522144522E-2</v>
      </c>
      <c r="R24" s="7">
        <f>Q24*C32</f>
        <v>7.8079472610722608E-2</v>
      </c>
      <c r="S24" s="7">
        <f t="shared" si="3"/>
        <v>7.807947261072261E-3</v>
      </c>
      <c r="U24" s="7">
        <v>7.8067700000000002E-3</v>
      </c>
      <c r="V24" s="10">
        <f t="shared" si="5"/>
        <v>1.1772610722608073E-6</v>
      </c>
      <c r="W24" s="7"/>
    </row>
    <row r="25" spans="1:23">
      <c r="A25" t="s">
        <v>4</v>
      </c>
      <c r="B25" s="2">
        <v>75</v>
      </c>
      <c r="C25" s="2">
        <v>25</v>
      </c>
      <c r="D25" s="2">
        <v>2</v>
      </c>
      <c r="I25" t="s">
        <v>58</v>
      </c>
      <c r="J25">
        <f>J23</f>
        <v>2</v>
      </c>
      <c r="K25">
        <f t="shared" ref="K25:L25" si="21">K23</f>
        <v>7</v>
      </c>
      <c r="L25">
        <f t="shared" si="21"/>
        <v>3</v>
      </c>
      <c r="M25">
        <f>E18-M23</f>
        <v>20</v>
      </c>
      <c r="N25">
        <f>F18</f>
        <v>48</v>
      </c>
      <c r="O25">
        <f t="shared" si="8"/>
        <v>40320</v>
      </c>
      <c r="P25" s="7">
        <f t="shared" si="1"/>
        <v>6.3738344988344988E-4</v>
      </c>
      <c r="Q25" s="7">
        <f t="shared" si="2"/>
        <v>1.2747668997668998E-2</v>
      </c>
      <c r="R25" s="7">
        <f>Q25*D32</f>
        <v>2.5495337995337996E-2</v>
      </c>
      <c r="S25" s="7">
        <f t="shared" si="3"/>
        <v>2.5495337995337995E-3</v>
      </c>
      <c r="U25" s="7">
        <v>2.547274E-3</v>
      </c>
      <c r="V25" s="10">
        <f t="shared" si="5"/>
        <v>2.2597995337995253E-6</v>
      </c>
      <c r="W25" s="7"/>
    </row>
    <row r="26" spans="1:23">
      <c r="A26" t="s">
        <v>5</v>
      </c>
      <c r="B26" s="2">
        <v>50</v>
      </c>
      <c r="C26" s="2">
        <v>12</v>
      </c>
      <c r="D26" s="2">
        <v>2</v>
      </c>
      <c r="I26" s="8" t="s">
        <v>59</v>
      </c>
      <c r="J26" s="8">
        <f>B3+B12</f>
        <v>2</v>
      </c>
      <c r="K26" s="8">
        <f>C3+C12</f>
        <v>7</v>
      </c>
      <c r="L26" s="8">
        <f>D3+D12</f>
        <v>3</v>
      </c>
      <c r="M26" s="8">
        <f>E3+E12</f>
        <v>32</v>
      </c>
      <c r="N26" s="8">
        <f>F3+F12</f>
        <v>6</v>
      </c>
      <c r="O26" s="8">
        <f t="shared" si="8"/>
        <v>8064</v>
      </c>
      <c r="P26" s="9">
        <f t="shared" si="1"/>
        <v>1.2747668997668997E-4</v>
      </c>
      <c r="Q26" s="9">
        <f t="shared" si="2"/>
        <v>2.5495337995337995E-3</v>
      </c>
      <c r="R26" s="9">
        <f>Q26*B33</f>
        <v>6.3738344988344992E-2</v>
      </c>
      <c r="S26" s="9">
        <f t="shared" si="3"/>
        <v>6.373834498834499E-3</v>
      </c>
      <c r="U26" s="7">
        <v>6.3727499999999999E-3</v>
      </c>
      <c r="V26" s="10">
        <f t="shared" si="5"/>
        <v>1.0844988344990356E-6</v>
      </c>
      <c r="W26" s="7"/>
    </row>
    <row r="27" spans="1:23">
      <c r="A27" t="s">
        <v>6</v>
      </c>
      <c r="B27" s="2">
        <v>50</v>
      </c>
      <c r="C27" s="2">
        <v>12</v>
      </c>
      <c r="D27" s="2">
        <v>2</v>
      </c>
      <c r="I27" t="s">
        <v>60</v>
      </c>
      <c r="J27">
        <f>J26</f>
        <v>2</v>
      </c>
      <c r="K27">
        <f t="shared" ref="K27:M27" si="22">K26</f>
        <v>7</v>
      </c>
      <c r="L27">
        <f t="shared" si="22"/>
        <v>3</v>
      </c>
      <c r="M27">
        <f t="shared" si="22"/>
        <v>32</v>
      </c>
      <c r="N27">
        <f>F18-N26</f>
        <v>42</v>
      </c>
      <c r="O27">
        <f t="shared" si="8"/>
        <v>56448</v>
      </c>
      <c r="P27" s="7">
        <f t="shared" si="1"/>
        <v>8.9233682983682987E-4</v>
      </c>
      <c r="Q27" s="7">
        <f t="shared" si="2"/>
        <v>1.7846736596736596E-2</v>
      </c>
      <c r="R27" s="7">
        <f>Q27*C33</f>
        <v>8.9233682983682977E-2</v>
      </c>
      <c r="S27" s="7">
        <f t="shared" si="3"/>
        <v>8.923368298368298E-3</v>
      </c>
      <c r="U27" s="7">
        <v>8.9239799999999998E-3</v>
      </c>
      <c r="V27" s="10">
        <f t="shared" si="5"/>
        <v>-6.1170163170171099E-7</v>
      </c>
      <c r="W27" s="7"/>
    </row>
    <row r="28" spans="1:23">
      <c r="A28" t="s">
        <v>7</v>
      </c>
      <c r="B28" s="2">
        <v>50</v>
      </c>
      <c r="C28" s="2">
        <v>12</v>
      </c>
      <c r="D28" s="2">
        <v>2</v>
      </c>
      <c r="I28" t="s">
        <v>61</v>
      </c>
      <c r="J28">
        <f>J26</f>
        <v>2</v>
      </c>
      <c r="K28">
        <f t="shared" ref="K28:L28" si="23">K26</f>
        <v>7</v>
      </c>
      <c r="L28">
        <f t="shared" si="23"/>
        <v>3</v>
      </c>
      <c r="M28">
        <f>E18-M26</f>
        <v>16</v>
      </c>
      <c r="N28">
        <f>F18</f>
        <v>48</v>
      </c>
      <c r="O28">
        <f t="shared" si="8"/>
        <v>32256</v>
      </c>
      <c r="P28" s="7">
        <f t="shared" si="1"/>
        <v>5.0990675990675988E-4</v>
      </c>
      <c r="Q28" s="7">
        <f t="shared" si="2"/>
        <v>1.0198135198135198E-2</v>
      </c>
      <c r="R28" s="7">
        <f>Q28*D33</f>
        <v>2.0396270396270396E-2</v>
      </c>
      <c r="S28" s="7">
        <f t="shared" si="3"/>
        <v>2.0396270396270395E-3</v>
      </c>
      <c r="U28" s="7">
        <v>2.0400739999999998E-3</v>
      </c>
      <c r="V28" s="10">
        <f t="shared" si="5"/>
        <v>-4.4696037296027696E-7</v>
      </c>
      <c r="W28" s="7"/>
    </row>
    <row r="29" spans="1:23">
      <c r="A29" t="s">
        <v>8</v>
      </c>
      <c r="B29" s="2">
        <v>40</v>
      </c>
      <c r="C29" s="2">
        <v>7</v>
      </c>
      <c r="D29" s="2">
        <v>2</v>
      </c>
      <c r="S29" s="7">
        <f>SUM(S2:S28)</f>
        <v>0.37953832192113435</v>
      </c>
      <c r="U29" s="7">
        <f>SUM(U2:U28)</f>
        <v>0.37940935199999998</v>
      </c>
      <c r="V29" s="10">
        <f t="shared" si="5"/>
        <v>1.2896992113436978E-4</v>
      </c>
      <c r="W29" s="7"/>
    </row>
    <row r="30" spans="1:23">
      <c r="A30" t="s">
        <v>9</v>
      </c>
      <c r="B30" s="2">
        <v>25</v>
      </c>
      <c r="C30" s="2">
        <v>5</v>
      </c>
      <c r="D30" s="2">
        <v>2</v>
      </c>
      <c r="W30" s="7"/>
    </row>
    <row r="31" spans="1:23">
      <c r="A31" t="s">
        <v>10</v>
      </c>
      <c r="B31" s="2">
        <v>25</v>
      </c>
      <c r="C31" s="2">
        <v>5</v>
      </c>
      <c r="D31" s="2">
        <v>2</v>
      </c>
      <c r="W31" s="7"/>
    </row>
    <row r="32" spans="1:23">
      <c r="A32" t="s">
        <v>11</v>
      </c>
      <c r="B32" s="2">
        <v>25</v>
      </c>
      <c r="C32" s="2">
        <v>5</v>
      </c>
      <c r="D32" s="2">
        <v>2</v>
      </c>
      <c r="I32" t="s">
        <v>71</v>
      </c>
      <c r="J32">
        <f>$B$3+$B$4</f>
        <v>2</v>
      </c>
      <c r="K32">
        <f>$C$3+$C$4</f>
        <v>1</v>
      </c>
      <c r="L32">
        <f>D14</f>
        <v>3</v>
      </c>
      <c r="M32">
        <f>$E$18</f>
        <v>48</v>
      </c>
      <c r="N32">
        <f>$F$18</f>
        <v>48</v>
      </c>
      <c r="O32">
        <f>PRODUCT(J32:N32)</f>
        <v>13824</v>
      </c>
      <c r="P32">
        <f>O32/$B$19</f>
        <v>2.1853146853146853E-4</v>
      </c>
      <c r="W32" s="7"/>
    </row>
    <row r="33" spans="1:21">
      <c r="A33" t="s">
        <v>12</v>
      </c>
      <c r="B33" s="2">
        <v>25</v>
      </c>
      <c r="C33" s="2">
        <v>5</v>
      </c>
      <c r="D33" s="2">
        <v>2</v>
      </c>
      <c r="I33" t="s">
        <v>72</v>
      </c>
      <c r="J33">
        <f>$B$3+$B$5</f>
        <v>3</v>
      </c>
      <c r="K33">
        <f>$C$3+$C$5</f>
        <v>1</v>
      </c>
      <c r="L33">
        <f>$D$14</f>
        <v>3</v>
      </c>
      <c r="M33">
        <f t="shared" ref="M33:M40" si="24">$E$18</f>
        <v>48</v>
      </c>
      <c r="N33">
        <f t="shared" ref="N33:N40" si="25">$F$18</f>
        <v>48</v>
      </c>
      <c r="O33">
        <f t="shared" ref="O33:O40" si="26">PRODUCT(J33:N33)</f>
        <v>20736</v>
      </c>
      <c r="P33">
        <f t="shared" ref="P33:P40" si="27">O33/$B$19</f>
        <v>3.2779720279720281E-4</v>
      </c>
    </row>
    <row r="34" spans="1:21">
      <c r="B34" s="2"/>
      <c r="C34" s="2"/>
      <c r="D34" s="2"/>
      <c r="I34" t="s">
        <v>73</v>
      </c>
      <c r="J34">
        <f>$B$3+$B$6</f>
        <v>3</v>
      </c>
      <c r="K34">
        <f>$C$3+C6</f>
        <v>1</v>
      </c>
      <c r="L34">
        <f t="shared" ref="L34:L40" si="28">$D$14</f>
        <v>3</v>
      </c>
      <c r="M34">
        <f t="shared" si="24"/>
        <v>48</v>
      </c>
      <c r="N34">
        <f t="shared" si="25"/>
        <v>48</v>
      </c>
      <c r="O34">
        <f t="shared" si="26"/>
        <v>20736</v>
      </c>
      <c r="P34">
        <f t="shared" si="27"/>
        <v>3.2779720279720281E-4</v>
      </c>
    </row>
    <row r="35" spans="1:21">
      <c r="I35" t="s">
        <v>74</v>
      </c>
      <c r="J35">
        <f>$B$3+$B$7</f>
        <v>2</v>
      </c>
      <c r="K35">
        <f>$C$3+$C$7</f>
        <v>9</v>
      </c>
      <c r="L35">
        <f t="shared" si="28"/>
        <v>3</v>
      </c>
      <c r="M35">
        <f t="shared" si="24"/>
        <v>48</v>
      </c>
      <c r="N35">
        <f t="shared" si="25"/>
        <v>48</v>
      </c>
      <c r="O35">
        <f t="shared" si="26"/>
        <v>124416</v>
      </c>
      <c r="P35">
        <f t="shared" si="27"/>
        <v>1.966783216783217E-3</v>
      </c>
      <c r="T35" s="7"/>
    </row>
    <row r="36" spans="1:21">
      <c r="I36" t="s">
        <v>75</v>
      </c>
      <c r="J36">
        <f>B3+B8</f>
        <v>4</v>
      </c>
      <c r="K36">
        <f>$C$3+$C$8</f>
        <v>9</v>
      </c>
      <c r="L36">
        <f t="shared" si="28"/>
        <v>3</v>
      </c>
      <c r="M36">
        <f t="shared" si="24"/>
        <v>48</v>
      </c>
      <c r="N36">
        <f t="shared" si="25"/>
        <v>48</v>
      </c>
      <c r="O36">
        <f t="shared" si="26"/>
        <v>248832</v>
      </c>
      <c r="P36">
        <f t="shared" si="27"/>
        <v>3.9335664335664339E-3</v>
      </c>
      <c r="U36" s="7"/>
    </row>
    <row r="37" spans="1:21">
      <c r="A37" t="s">
        <v>66</v>
      </c>
      <c r="B37" t="s">
        <v>80</v>
      </c>
      <c r="C37" t="s">
        <v>67</v>
      </c>
      <c r="I37" t="s">
        <v>76</v>
      </c>
      <c r="J37">
        <f>B3+B9</f>
        <v>7</v>
      </c>
      <c r="K37">
        <f>$C$3+$C$9</f>
        <v>3</v>
      </c>
      <c r="L37">
        <f t="shared" si="28"/>
        <v>3</v>
      </c>
      <c r="M37">
        <f t="shared" si="24"/>
        <v>48</v>
      </c>
      <c r="N37">
        <f t="shared" si="25"/>
        <v>48</v>
      </c>
      <c r="O37">
        <f t="shared" si="26"/>
        <v>145152</v>
      </c>
      <c r="P37">
        <f t="shared" si="27"/>
        <v>2.2945804195804195E-3</v>
      </c>
      <c r="U37" s="7"/>
    </row>
    <row r="38" spans="1:21">
      <c r="A38" t="s">
        <v>20</v>
      </c>
      <c r="B38">
        <v>1</v>
      </c>
      <c r="C38" s="7">
        <f>$S$29</f>
        <v>0.37953832192113435</v>
      </c>
      <c r="D38">
        <f>B38*C38/$B$40</f>
        <v>0.18976916096056717</v>
      </c>
      <c r="I38" t="s">
        <v>77</v>
      </c>
      <c r="J38">
        <f>$B$3+$B$10</f>
        <v>7</v>
      </c>
      <c r="K38">
        <f>$C$3+$C$10</f>
        <v>3</v>
      </c>
      <c r="L38">
        <f t="shared" si="28"/>
        <v>3</v>
      </c>
      <c r="M38">
        <f t="shared" si="24"/>
        <v>48</v>
      </c>
      <c r="N38">
        <f t="shared" si="25"/>
        <v>48</v>
      </c>
      <c r="O38">
        <f t="shared" si="26"/>
        <v>145152</v>
      </c>
      <c r="P38">
        <f t="shared" si="27"/>
        <v>2.2945804195804195E-3</v>
      </c>
    </row>
    <row r="39" spans="1:21">
      <c r="A39" t="s">
        <v>19</v>
      </c>
      <c r="B39">
        <v>1</v>
      </c>
      <c r="C39" s="7">
        <f>'Step-1'!S29</f>
        <v>1.1631038542310865</v>
      </c>
      <c r="D39">
        <f>B39*C39/$B$40</f>
        <v>0.58155192711554327</v>
      </c>
      <c r="I39" t="s">
        <v>78</v>
      </c>
      <c r="J39">
        <f>$B$3+$B$11</f>
        <v>2</v>
      </c>
      <c r="K39">
        <f>$C$3+$C$11</f>
        <v>7</v>
      </c>
      <c r="L39">
        <f t="shared" si="28"/>
        <v>3</v>
      </c>
      <c r="M39">
        <f t="shared" si="24"/>
        <v>48</v>
      </c>
      <c r="N39">
        <f t="shared" si="25"/>
        <v>48</v>
      </c>
      <c r="O39">
        <f t="shared" si="26"/>
        <v>96768</v>
      </c>
      <c r="P39">
        <f t="shared" si="27"/>
        <v>1.5297202797202797E-3</v>
      </c>
    </row>
    <row r="40" spans="1:21">
      <c r="B40">
        <f>SUM(B38:B39)</f>
        <v>2</v>
      </c>
      <c r="D40">
        <f>SUM(D38:D39)</f>
        <v>0.77132108807611044</v>
      </c>
      <c r="I40" t="s">
        <v>79</v>
      </c>
      <c r="J40">
        <f>$B$3+$B$12</f>
        <v>2</v>
      </c>
      <c r="K40">
        <f>$C$3+$C$12</f>
        <v>7</v>
      </c>
      <c r="L40">
        <f t="shared" si="28"/>
        <v>3</v>
      </c>
      <c r="M40">
        <f t="shared" si="24"/>
        <v>48</v>
      </c>
      <c r="N40">
        <f t="shared" si="25"/>
        <v>48</v>
      </c>
      <c r="O40">
        <f t="shared" si="26"/>
        <v>96768</v>
      </c>
      <c r="P40">
        <f t="shared" si="27"/>
        <v>1.5297202797202797E-3</v>
      </c>
    </row>
    <row r="41" spans="1:21">
      <c r="O41">
        <f>SUM(O32:O40)</f>
        <v>912384</v>
      </c>
      <c r="P41">
        <f>SUM(P32:P40)</f>
        <v>1.4423076923076924E-2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51F73-4B91-4652-9C0D-F1324B25187E}">
  <dimension ref="A1:S40"/>
  <sheetViews>
    <sheetView workbookViewId="0">
      <selection activeCell="M47" sqref="M47"/>
    </sheetView>
  </sheetViews>
  <sheetFormatPr defaultRowHeight="14.5"/>
  <cols>
    <col min="18" max="18" width="10.7265625" customWidth="1"/>
  </cols>
  <sheetData>
    <row r="1" spans="1:19">
      <c r="A1" s="53" t="s">
        <v>13</v>
      </c>
      <c r="B1" s="53" t="s">
        <v>13</v>
      </c>
      <c r="C1" s="53" t="s">
        <v>13</v>
      </c>
      <c r="D1" s="53" t="s">
        <v>13</v>
      </c>
      <c r="E1" s="53" t="s">
        <v>13</v>
      </c>
      <c r="F1" s="53" t="s">
        <v>13</v>
      </c>
      <c r="I1" s="3" t="s">
        <v>23</v>
      </c>
      <c r="J1" s="3" t="s">
        <v>24</v>
      </c>
      <c r="K1" s="3" t="s">
        <v>25</v>
      </c>
      <c r="L1" s="3" t="s">
        <v>26</v>
      </c>
      <c r="M1" s="3" t="s">
        <v>27</v>
      </c>
      <c r="N1" s="3" t="s">
        <v>28</v>
      </c>
      <c r="O1" s="3" t="s">
        <v>31</v>
      </c>
      <c r="P1" s="3" t="s">
        <v>62</v>
      </c>
      <c r="Q1" s="3" t="s">
        <v>63</v>
      </c>
      <c r="R1" s="3" t="s">
        <v>32</v>
      </c>
      <c r="S1" s="3" t="s">
        <v>35</v>
      </c>
    </row>
    <row r="2" spans="1:19">
      <c r="A2" s="1" t="s">
        <v>0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I2" s="12" t="s">
        <v>29</v>
      </c>
      <c r="J2" s="8">
        <f>B3+B4</f>
        <v>2</v>
      </c>
      <c r="K2" s="8">
        <f t="shared" ref="K2:N2" si="0">C3+C4</f>
        <v>1</v>
      </c>
      <c r="L2" s="8">
        <f t="shared" si="0"/>
        <v>12</v>
      </c>
      <c r="M2" s="8">
        <f t="shared" si="0"/>
        <v>32</v>
      </c>
      <c r="N2" s="8">
        <f t="shared" si="0"/>
        <v>3</v>
      </c>
      <c r="O2" s="8">
        <f>PRODUCT(J2:N2)</f>
        <v>2304</v>
      </c>
      <c r="P2" s="9">
        <f t="shared" ref="P2:P28" si="1">O2/$B$19</f>
        <v>3.6421911421911422E-5</v>
      </c>
      <c r="Q2" s="9">
        <f t="shared" ref="Q2:Q28" si="2">P2*$A$22</f>
        <v>7.2843822843822849E-4</v>
      </c>
      <c r="R2" s="9">
        <f>Q2*B25</f>
        <v>5.4632867132867136E-2</v>
      </c>
      <c r="S2" s="9">
        <f t="shared" ref="S2:S28" si="3">R2/$B$22</f>
        <v>5.4632867132867139E-3</v>
      </c>
    </row>
    <row r="3" spans="1:19">
      <c r="A3" t="s">
        <v>19</v>
      </c>
      <c r="B3">
        <v>0</v>
      </c>
      <c r="C3">
        <v>1</v>
      </c>
      <c r="D3">
        <v>6</v>
      </c>
      <c r="E3">
        <v>28</v>
      </c>
      <c r="F3">
        <v>0</v>
      </c>
      <c r="I3" t="s">
        <v>36</v>
      </c>
      <c r="J3">
        <f>J2</f>
        <v>2</v>
      </c>
      <c r="K3">
        <f t="shared" ref="K3:M3" si="4">K2</f>
        <v>1</v>
      </c>
      <c r="L3">
        <f t="shared" si="4"/>
        <v>12</v>
      </c>
      <c r="M3">
        <f t="shared" si="4"/>
        <v>32</v>
      </c>
      <c r="N3">
        <f>F18-N2</f>
        <v>45</v>
      </c>
      <c r="O3">
        <f>PRODUCT(J3:N3)</f>
        <v>34560</v>
      </c>
      <c r="P3" s="7">
        <f t="shared" si="1"/>
        <v>5.4632867132867137E-4</v>
      </c>
      <c r="Q3" s="7">
        <f t="shared" si="2"/>
        <v>1.0926573426573428E-2</v>
      </c>
      <c r="R3" s="7">
        <f>Q3*C25</f>
        <v>0.27316433566433568</v>
      </c>
      <c r="S3" s="7">
        <f t="shared" si="3"/>
        <v>2.7316433566433568E-2</v>
      </c>
    </row>
    <row r="4" spans="1:19">
      <c r="A4" t="s">
        <v>4</v>
      </c>
      <c r="B4">
        <v>2</v>
      </c>
      <c r="C4">
        <v>0</v>
      </c>
      <c r="D4">
        <v>6</v>
      </c>
      <c r="E4">
        <v>4</v>
      </c>
      <c r="F4">
        <v>3</v>
      </c>
      <c r="I4" t="s">
        <v>37</v>
      </c>
      <c r="J4">
        <f>J2</f>
        <v>2</v>
      </c>
      <c r="K4">
        <f t="shared" ref="K4:L4" si="5">K2</f>
        <v>1</v>
      </c>
      <c r="L4">
        <f t="shared" si="5"/>
        <v>12</v>
      </c>
      <c r="M4">
        <f>E18-M2</f>
        <v>16</v>
      </c>
      <c r="N4">
        <v>48</v>
      </c>
      <c r="O4">
        <f>PRODUCT(J4:N4)</f>
        <v>18432</v>
      </c>
      <c r="P4" s="7">
        <f t="shared" si="1"/>
        <v>2.9137529137529138E-4</v>
      </c>
      <c r="Q4" s="7">
        <f t="shared" si="2"/>
        <v>5.8275058275058279E-3</v>
      </c>
      <c r="R4" s="7">
        <f>Q4*D25</f>
        <v>1.1655011655011656E-2</v>
      </c>
      <c r="S4" s="7">
        <f t="shared" si="3"/>
        <v>1.1655011655011655E-3</v>
      </c>
    </row>
    <row r="5" spans="1:19">
      <c r="A5" t="s">
        <v>5</v>
      </c>
      <c r="B5">
        <v>3</v>
      </c>
      <c r="C5">
        <v>0</v>
      </c>
      <c r="D5">
        <v>4</v>
      </c>
      <c r="E5">
        <v>4</v>
      </c>
      <c r="F5">
        <v>4</v>
      </c>
      <c r="I5" s="12" t="s">
        <v>38</v>
      </c>
      <c r="J5" s="8">
        <f>B3+B5</f>
        <v>3</v>
      </c>
      <c r="K5" s="8">
        <f t="shared" ref="K5:N5" si="6">C3+C5</f>
        <v>1</v>
      </c>
      <c r="L5" s="8">
        <f t="shared" si="6"/>
        <v>10</v>
      </c>
      <c r="M5" s="8">
        <f t="shared" si="6"/>
        <v>32</v>
      </c>
      <c r="N5" s="8">
        <f t="shared" si="6"/>
        <v>4</v>
      </c>
      <c r="O5" s="8">
        <f t="shared" ref="O5:O28" si="7">PRODUCT(J5:N5)</f>
        <v>3840</v>
      </c>
      <c r="P5" s="9">
        <f t="shared" si="1"/>
        <v>6.0703185703185703E-5</v>
      </c>
      <c r="Q5" s="9">
        <f t="shared" si="2"/>
        <v>1.214063714063714E-3</v>
      </c>
      <c r="R5" s="9">
        <f>Q5*B26</f>
        <v>6.0703185703185697E-2</v>
      </c>
      <c r="S5" s="9">
        <f t="shared" si="3"/>
        <v>6.07031857031857E-3</v>
      </c>
    </row>
    <row r="6" spans="1:19">
      <c r="A6" t="s">
        <v>6</v>
      </c>
      <c r="B6">
        <v>3</v>
      </c>
      <c r="C6">
        <v>0</v>
      </c>
      <c r="D6">
        <v>0</v>
      </c>
      <c r="E6">
        <v>0</v>
      </c>
      <c r="F6">
        <v>6</v>
      </c>
      <c r="I6" t="s">
        <v>39</v>
      </c>
      <c r="J6">
        <f>J5</f>
        <v>3</v>
      </c>
      <c r="K6">
        <f t="shared" ref="K6:M6" si="8">K5</f>
        <v>1</v>
      </c>
      <c r="L6">
        <f t="shared" si="8"/>
        <v>10</v>
      </c>
      <c r="M6">
        <f t="shared" si="8"/>
        <v>32</v>
      </c>
      <c r="N6">
        <f>F18-N5</f>
        <v>44</v>
      </c>
      <c r="O6">
        <f t="shared" si="7"/>
        <v>42240</v>
      </c>
      <c r="P6" s="7">
        <f t="shared" si="1"/>
        <v>6.6773504273504275E-4</v>
      </c>
      <c r="Q6" s="7">
        <f t="shared" si="2"/>
        <v>1.3354700854700856E-2</v>
      </c>
      <c r="R6" s="7">
        <f>Q6*C26</f>
        <v>0.16025641025641027</v>
      </c>
      <c r="S6" s="7">
        <f t="shared" si="3"/>
        <v>1.6025641025641028E-2</v>
      </c>
    </row>
    <row r="7" spans="1:19">
      <c r="A7" t="s">
        <v>7</v>
      </c>
      <c r="B7">
        <v>2</v>
      </c>
      <c r="C7">
        <v>8</v>
      </c>
      <c r="D7">
        <v>2</v>
      </c>
      <c r="E7">
        <v>0</v>
      </c>
      <c r="F7">
        <v>6</v>
      </c>
      <c r="I7" t="s">
        <v>40</v>
      </c>
      <c r="J7">
        <f>J5</f>
        <v>3</v>
      </c>
      <c r="K7">
        <f t="shared" ref="K7:L7" si="9">K5</f>
        <v>1</v>
      </c>
      <c r="L7">
        <f t="shared" si="9"/>
        <v>10</v>
      </c>
      <c r="M7">
        <f>$E$18-$E$3-$E$5</f>
        <v>16</v>
      </c>
      <c r="N7">
        <f>F18</f>
        <v>48</v>
      </c>
      <c r="O7">
        <f t="shared" si="7"/>
        <v>23040</v>
      </c>
      <c r="P7" s="7">
        <f t="shared" si="1"/>
        <v>3.6421911421911425E-4</v>
      </c>
      <c r="Q7" s="7">
        <f t="shared" si="2"/>
        <v>7.2843822843822849E-3</v>
      </c>
      <c r="R7" s="7">
        <f>Q7*D26</f>
        <v>1.456876456876457E-2</v>
      </c>
      <c r="S7" s="7">
        <f t="shared" si="3"/>
        <v>1.456876456876457E-3</v>
      </c>
    </row>
    <row r="8" spans="1:19">
      <c r="A8" t="s">
        <v>8</v>
      </c>
      <c r="B8">
        <v>4</v>
      </c>
      <c r="C8">
        <v>8</v>
      </c>
      <c r="D8">
        <v>4</v>
      </c>
      <c r="E8">
        <v>6</v>
      </c>
      <c r="F8">
        <v>5</v>
      </c>
      <c r="I8" s="8" t="s">
        <v>41</v>
      </c>
      <c r="J8" s="8">
        <f>B3+B6</f>
        <v>3</v>
      </c>
      <c r="K8" s="8">
        <f t="shared" ref="K8:N8" si="10">C3+C6</f>
        <v>1</v>
      </c>
      <c r="L8" s="8">
        <f t="shared" si="10"/>
        <v>6</v>
      </c>
      <c r="M8" s="8">
        <f t="shared" si="10"/>
        <v>28</v>
      </c>
      <c r="N8" s="8">
        <f t="shared" si="10"/>
        <v>6</v>
      </c>
      <c r="O8" s="8">
        <f t="shared" si="7"/>
        <v>3024</v>
      </c>
      <c r="P8" s="9">
        <f t="shared" si="1"/>
        <v>4.7803758741258742E-5</v>
      </c>
      <c r="Q8" s="9">
        <f t="shared" si="2"/>
        <v>9.5607517482517487E-4</v>
      </c>
      <c r="R8" s="9">
        <f>Q8*B27</f>
        <v>4.7803758741258744E-2</v>
      </c>
      <c r="S8" s="9">
        <f t="shared" si="3"/>
        <v>4.780375874125874E-3</v>
      </c>
    </row>
    <row r="9" spans="1:19">
      <c r="A9" t="s">
        <v>9</v>
      </c>
      <c r="B9">
        <v>7</v>
      </c>
      <c r="C9">
        <v>2</v>
      </c>
      <c r="D9">
        <v>2</v>
      </c>
      <c r="E9">
        <v>0</v>
      </c>
      <c r="F9">
        <v>6</v>
      </c>
      <c r="I9" t="s">
        <v>42</v>
      </c>
      <c r="J9">
        <f>J8</f>
        <v>3</v>
      </c>
      <c r="K9">
        <f t="shared" ref="K9:M10" si="11">K8</f>
        <v>1</v>
      </c>
      <c r="L9">
        <f t="shared" si="11"/>
        <v>6</v>
      </c>
      <c r="M9">
        <f t="shared" si="11"/>
        <v>28</v>
      </c>
      <c r="N9">
        <f>F18-N8</f>
        <v>42</v>
      </c>
      <c r="O9">
        <f t="shared" si="7"/>
        <v>21168</v>
      </c>
      <c r="P9" s="7">
        <f t="shared" si="1"/>
        <v>3.3462631118881119E-4</v>
      </c>
      <c r="Q9" s="7">
        <f t="shared" si="2"/>
        <v>6.692526223776224E-3</v>
      </c>
      <c r="R9" s="7">
        <f>Q9*C27</f>
        <v>8.0310314685314688E-2</v>
      </c>
      <c r="S9" s="7">
        <f t="shared" si="3"/>
        <v>8.0310314685314681E-3</v>
      </c>
    </row>
    <row r="10" spans="1:19">
      <c r="A10" t="s">
        <v>10</v>
      </c>
      <c r="B10">
        <v>7</v>
      </c>
      <c r="C10">
        <v>2</v>
      </c>
      <c r="D10">
        <v>2</v>
      </c>
      <c r="E10">
        <v>2</v>
      </c>
      <c r="F10">
        <v>6</v>
      </c>
      <c r="I10" t="s">
        <v>43</v>
      </c>
      <c r="J10">
        <f>J9</f>
        <v>3</v>
      </c>
      <c r="K10">
        <f t="shared" si="11"/>
        <v>1</v>
      </c>
      <c r="L10">
        <f t="shared" si="11"/>
        <v>6</v>
      </c>
      <c r="M10">
        <f>E18-M9</f>
        <v>20</v>
      </c>
      <c r="N10">
        <f>F18</f>
        <v>48</v>
      </c>
      <c r="O10">
        <f t="shared" si="7"/>
        <v>17280</v>
      </c>
      <c r="P10" s="7">
        <f t="shared" si="1"/>
        <v>2.7316433566433568E-4</v>
      </c>
      <c r="Q10" s="7">
        <f t="shared" si="2"/>
        <v>5.4632867132867139E-3</v>
      </c>
      <c r="R10" s="7">
        <f>Q10*D27</f>
        <v>1.0926573426573428E-2</v>
      </c>
      <c r="S10" s="7">
        <f t="shared" si="3"/>
        <v>1.0926573426573427E-3</v>
      </c>
    </row>
    <row r="11" spans="1:19">
      <c r="A11" t="s">
        <v>11</v>
      </c>
      <c r="B11">
        <v>2</v>
      </c>
      <c r="C11">
        <v>6</v>
      </c>
      <c r="D11">
        <v>0</v>
      </c>
      <c r="E11">
        <v>0</v>
      </c>
      <c r="F11">
        <v>6</v>
      </c>
      <c r="I11" s="8" t="s">
        <v>44</v>
      </c>
      <c r="J11" s="8">
        <f>B3+B7</f>
        <v>2</v>
      </c>
      <c r="K11" s="8">
        <f t="shared" ref="K11:N11" si="12">C3+C7</f>
        <v>9</v>
      </c>
      <c r="L11" s="8">
        <f t="shared" si="12"/>
        <v>8</v>
      </c>
      <c r="M11" s="8">
        <f t="shared" si="12"/>
        <v>28</v>
      </c>
      <c r="N11" s="8">
        <f t="shared" si="12"/>
        <v>6</v>
      </c>
      <c r="O11" s="8">
        <f t="shared" si="7"/>
        <v>24192</v>
      </c>
      <c r="P11" s="9">
        <f t="shared" si="1"/>
        <v>3.8243006993006994E-4</v>
      </c>
      <c r="Q11" s="9">
        <f t="shared" si="2"/>
        <v>7.6486013986013989E-3</v>
      </c>
      <c r="R11" s="9">
        <f>Q11*B28</f>
        <v>0.38243006993006995</v>
      </c>
      <c r="S11" s="9">
        <f t="shared" si="3"/>
        <v>3.8243006993006992E-2</v>
      </c>
    </row>
    <row r="12" spans="1:19">
      <c r="A12" t="s">
        <v>12</v>
      </c>
      <c r="B12">
        <v>2</v>
      </c>
      <c r="C12">
        <v>6</v>
      </c>
      <c r="D12">
        <v>0</v>
      </c>
      <c r="E12">
        <v>4</v>
      </c>
      <c r="F12">
        <v>6</v>
      </c>
      <c r="I12" t="s">
        <v>45</v>
      </c>
      <c r="J12">
        <f>J11</f>
        <v>2</v>
      </c>
      <c r="K12">
        <f t="shared" ref="K12:M13" si="13">K11</f>
        <v>9</v>
      </c>
      <c r="L12">
        <f t="shared" si="13"/>
        <v>8</v>
      </c>
      <c r="M12">
        <f t="shared" si="13"/>
        <v>28</v>
      </c>
      <c r="N12">
        <f>F18-N11</f>
        <v>42</v>
      </c>
      <c r="O12">
        <f t="shared" si="7"/>
        <v>169344</v>
      </c>
      <c r="P12" s="7">
        <f t="shared" si="1"/>
        <v>2.6770104895104895E-3</v>
      </c>
      <c r="Q12" s="7">
        <f t="shared" si="2"/>
        <v>5.3540209790209792E-2</v>
      </c>
      <c r="R12" s="7">
        <f>Q12*C28</f>
        <v>0.6424825174825175</v>
      </c>
      <c r="S12" s="7">
        <f t="shared" si="3"/>
        <v>6.4248251748251745E-2</v>
      </c>
    </row>
    <row r="13" spans="1:19">
      <c r="A13" t="s">
        <v>20</v>
      </c>
      <c r="B13">
        <v>0</v>
      </c>
      <c r="C13">
        <v>0</v>
      </c>
      <c r="D13">
        <v>0</v>
      </c>
      <c r="E13">
        <v>0</v>
      </c>
      <c r="F13">
        <v>0</v>
      </c>
      <c r="I13" t="s">
        <v>46</v>
      </c>
      <c r="J13">
        <f>J12</f>
        <v>2</v>
      </c>
      <c r="K13">
        <f t="shared" si="13"/>
        <v>9</v>
      </c>
      <c r="L13">
        <f t="shared" si="13"/>
        <v>8</v>
      </c>
      <c r="M13">
        <f>E18-M11</f>
        <v>20</v>
      </c>
      <c r="N13">
        <f>F18</f>
        <v>48</v>
      </c>
      <c r="O13">
        <f t="shared" si="7"/>
        <v>138240</v>
      </c>
      <c r="P13" s="7">
        <f t="shared" si="1"/>
        <v>2.1853146853146855E-3</v>
      </c>
      <c r="Q13" s="7">
        <f t="shared" si="2"/>
        <v>4.3706293706293711E-2</v>
      </c>
      <c r="R13" s="7">
        <f>Q13*D28</f>
        <v>8.7412587412587422E-2</v>
      </c>
      <c r="S13" s="7">
        <f t="shared" si="3"/>
        <v>8.7412587412587419E-3</v>
      </c>
    </row>
    <row r="14" spans="1:19">
      <c r="A14" t="s">
        <v>21</v>
      </c>
      <c r="B14">
        <v>0</v>
      </c>
      <c r="C14">
        <v>0</v>
      </c>
      <c r="D14">
        <v>0</v>
      </c>
      <c r="E14">
        <v>0</v>
      </c>
      <c r="F14">
        <v>0</v>
      </c>
      <c r="I14" s="8" t="s">
        <v>47</v>
      </c>
      <c r="J14" s="8">
        <f>B3+B8</f>
        <v>4</v>
      </c>
      <c r="K14" s="8">
        <f t="shared" ref="K14:N14" si="14">C3+C8</f>
        <v>9</v>
      </c>
      <c r="L14" s="8">
        <f t="shared" si="14"/>
        <v>10</v>
      </c>
      <c r="M14" s="8">
        <f t="shared" si="14"/>
        <v>34</v>
      </c>
      <c r="N14" s="8">
        <f t="shared" si="14"/>
        <v>5</v>
      </c>
      <c r="O14" s="8">
        <f t="shared" si="7"/>
        <v>61200</v>
      </c>
      <c r="P14" s="9">
        <f t="shared" si="1"/>
        <v>9.6745702214452213E-4</v>
      </c>
      <c r="Q14" s="9">
        <f t="shared" si="2"/>
        <v>1.9349140442890444E-2</v>
      </c>
      <c r="R14" s="9">
        <f>Q14*B29</f>
        <v>0.77396561771561778</v>
      </c>
      <c r="S14" s="9">
        <f t="shared" si="3"/>
        <v>7.7396561771561775E-2</v>
      </c>
    </row>
    <row r="15" spans="1:19">
      <c r="A15" t="s">
        <v>68</v>
      </c>
      <c r="B15">
        <v>0</v>
      </c>
      <c r="C15">
        <v>0</v>
      </c>
      <c r="D15">
        <v>0</v>
      </c>
      <c r="E15">
        <v>0</v>
      </c>
      <c r="F15">
        <v>0</v>
      </c>
      <c r="I15" t="s">
        <v>48</v>
      </c>
      <c r="J15">
        <f>J14</f>
        <v>4</v>
      </c>
      <c r="K15">
        <f>K14</f>
        <v>9</v>
      </c>
      <c r="L15">
        <f>L14</f>
        <v>10</v>
      </c>
      <c r="M15">
        <f>M14</f>
        <v>34</v>
      </c>
      <c r="N15">
        <f>F18-N14</f>
        <v>43</v>
      </c>
      <c r="O15">
        <f t="shared" si="7"/>
        <v>526320</v>
      </c>
      <c r="P15" s="7">
        <f t="shared" si="1"/>
        <v>8.3201303904428901E-3</v>
      </c>
      <c r="Q15" s="7">
        <f t="shared" si="2"/>
        <v>0.16640260780885779</v>
      </c>
      <c r="R15" s="7">
        <f>Q15*C29</f>
        <v>1.1648182546620045</v>
      </c>
      <c r="S15" s="7">
        <f t="shared" si="3"/>
        <v>0.11648182546620045</v>
      </c>
    </row>
    <row r="16" spans="1:19">
      <c r="A16" t="s">
        <v>69</v>
      </c>
      <c r="B16">
        <v>0</v>
      </c>
      <c r="C16">
        <v>0</v>
      </c>
      <c r="D16">
        <v>0</v>
      </c>
      <c r="E16">
        <v>0</v>
      </c>
      <c r="F16">
        <v>0</v>
      </c>
      <c r="I16" t="s">
        <v>49</v>
      </c>
      <c r="J16">
        <f>J14</f>
        <v>4</v>
      </c>
      <c r="K16">
        <f>K14</f>
        <v>9</v>
      </c>
      <c r="L16">
        <f>L14</f>
        <v>10</v>
      </c>
      <c r="M16">
        <f>E18-M14</f>
        <v>14</v>
      </c>
      <c r="N16">
        <f>F18</f>
        <v>48</v>
      </c>
      <c r="O16">
        <f t="shared" si="7"/>
        <v>241920</v>
      </c>
      <c r="P16" s="7">
        <f t="shared" si="1"/>
        <v>3.8243006993006995E-3</v>
      </c>
      <c r="Q16" s="7">
        <f t="shared" si="2"/>
        <v>7.6486013986013984E-2</v>
      </c>
      <c r="R16" s="7">
        <f>Q16*D29</f>
        <v>0.15297202797202797</v>
      </c>
      <c r="S16" s="7">
        <f t="shared" si="3"/>
        <v>1.5297202797202796E-2</v>
      </c>
    </row>
    <row r="17" spans="1:19">
      <c r="A17" t="s">
        <v>70</v>
      </c>
      <c r="B17">
        <v>0</v>
      </c>
      <c r="C17">
        <v>0</v>
      </c>
      <c r="D17">
        <v>0</v>
      </c>
      <c r="E17">
        <v>0</v>
      </c>
      <c r="F17">
        <v>0</v>
      </c>
      <c r="I17" s="8" t="s">
        <v>50</v>
      </c>
      <c r="J17" s="8">
        <f>B3+B9</f>
        <v>7</v>
      </c>
      <c r="K17" s="8">
        <f>C3+C9</f>
        <v>3</v>
      </c>
      <c r="L17" s="8">
        <f>D3+D9</f>
        <v>8</v>
      </c>
      <c r="M17" s="8">
        <f>E3+E9</f>
        <v>28</v>
      </c>
      <c r="N17" s="8">
        <f>F3+F9</f>
        <v>6</v>
      </c>
      <c r="O17" s="8">
        <f t="shared" si="7"/>
        <v>28224</v>
      </c>
      <c r="P17" s="9">
        <f t="shared" si="1"/>
        <v>4.4616841491841493E-4</v>
      </c>
      <c r="Q17" s="9">
        <f t="shared" si="2"/>
        <v>8.923368298368298E-3</v>
      </c>
      <c r="R17" s="9">
        <f>Q17*B30</f>
        <v>0.22308420745920746</v>
      </c>
      <c r="S17" s="9">
        <f t="shared" si="3"/>
        <v>2.2308420745920744E-2</v>
      </c>
    </row>
    <row r="18" spans="1:19">
      <c r="A18" s="1" t="s">
        <v>22</v>
      </c>
      <c r="B18" s="5">
        <f>SUM(B3:B17)</f>
        <v>32</v>
      </c>
      <c r="C18" s="5">
        <f>SUM(C3:C17)</f>
        <v>33</v>
      </c>
      <c r="D18" s="5">
        <f>SUM(D3:D17)</f>
        <v>26</v>
      </c>
      <c r="E18" s="5">
        <f>SUM(E3:E17)</f>
        <v>48</v>
      </c>
      <c r="F18" s="5">
        <f>SUM(F3:F17)</f>
        <v>48</v>
      </c>
      <c r="I18" t="s">
        <v>51</v>
      </c>
      <c r="J18">
        <f>J17</f>
        <v>7</v>
      </c>
      <c r="K18">
        <f t="shared" ref="K18:M18" si="15">K17</f>
        <v>3</v>
      </c>
      <c r="L18">
        <f t="shared" si="15"/>
        <v>8</v>
      </c>
      <c r="M18">
        <f t="shared" si="15"/>
        <v>28</v>
      </c>
      <c r="N18">
        <f>F18-N17</f>
        <v>42</v>
      </c>
      <c r="O18">
        <f t="shared" si="7"/>
        <v>197568</v>
      </c>
      <c r="P18" s="7">
        <f t="shared" si="1"/>
        <v>3.1231789044289045E-3</v>
      </c>
      <c r="Q18" s="7">
        <f t="shared" si="2"/>
        <v>6.2463578088578088E-2</v>
      </c>
      <c r="R18" s="7">
        <f>Q18*C30</f>
        <v>0.31231789044289043</v>
      </c>
      <c r="S18" s="7">
        <f t="shared" si="3"/>
        <v>3.1231789044289044E-2</v>
      </c>
    </row>
    <row r="19" spans="1:19">
      <c r="A19" s="4" t="s">
        <v>33</v>
      </c>
      <c r="B19" s="6">
        <f>PRODUCT(B18:F18)</f>
        <v>63258624</v>
      </c>
      <c r="I19" t="s">
        <v>52</v>
      </c>
      <c r="J19">
        <f>J17</f>
        <v>7</v>
      </c>
      <c r="K19">
        <f t="shared" ref="K19:L19" si="16">K17</f>
        <v>3</v>
      </c>
      <c r="L19">
        <f t="shared" si="16"/>
        <v>8</v>
      </c>
      <c r="M19">
        <f>E18-M17</f>
        <v>20</v>
      </c>
      <c r="N19">
        <f>F18</f>
        <v>48</v>
      </c>
      <c r="O19">
        <f t="shared" si="7"/>
        <v>161280</v>
      </c>
      <c r="P19" s="7">
        <f t="shared" si="1"/>
        <v>2.5495337995337995E-3</v>
      </c>
      <c r="Q19" s="7">
        <f t="shared" si="2"/>
        <v>5.0990675990675992E-2</v>
      </c>
      <c r="R19" s="7">
        <f>Q19*D30</f>
        <v>0.10198135198135198</v>
      </c>
      <c r="S19" s="7">
        <f t="shared" si="3"/>
        <v>1.0198135198135198E-2</v>
      </c>
    </row>
    <row r="20" spans="1:19">
      <c r="A20" s="11"/>
      <c r="B20" s="6"/>
      <c r="I20" s="8" t="s">
        <v>53</v>
      </c>
      <c r="J20" s="8">
        <f>B3+B10</f>
        <v>7</v>
      </c>
      <c r="K20" s="8">
        <f>C3+C10</f>
        <v>3</v>
      </c>
      <c r="L20" s="8">
        <f>D3+D10</f>
        <v>8</v>
      </c>
      <c r="M20" s="8">
        <f>E3+E10</f>
        <v>30</v>
      </c>
      <c r="N20" s="8">
        <f>F3+F10</f>
        <v>6</v>
      </c>
      <c r="O20" s="8">
        <f t="shared" si="7"/>
        <v>30240</v>
      </c>
      <c r="P20" s="9">
        <f t="shared" si="1"/>
        <v>4.7803758741258743E-4</v>
      </c>
      <c r="Q20" s="9">
        <f t="shared" si="2"/>
        <v>9.560751748251748E-3</v>
      </c>
      <c r="R20" s="9">
        <f>Q20*B31</f>
        <v>0.2390187937062937</v>
      </c>
      <c r="S20" s="9">
        <f t="shared" si="3"/>
        <v>2.3901879370629368E-2</v>
      </c>
    </row>
    <row r="21" spans="1:19">
      <c r="A21" s="3" t="s">
        <v>30</v>
      </c>
      <c r="B21" s="3" t="s">
        <v>34</v>
      </c>
      <c r="I21" t="s">
        <v>54</v>
      </c>
      <c r="J21">
        <f>J20</f>
        <v>7</v>
      </c>
      <c r="K21">
        <f t="shared" ref="K21:M21" si="17">K20</f>
        <v>3</v>
      </c>
      <c r="L21">
        <f t="shared" si="17"/>
        <v>8</v>
      </c>
      <c r="M21">
        <f t="shared" si="17"/>
        <v>30</v>
      </c>
      <c r="N21">
        <f>F18-N20</f>
        <v>42</v>
      </c>
      <c r="O21">
        <f t="shared" si="7"/>
        <v>211680</v>
      </c>
      <c r="P21" s="7">
        <f t="shared" si="1"/>
        <v>3.346263111888112E-3</v>
      </c>
      <c r="Q21" s="7">
        <f t="shared" si="2"/>
        <v>6.692526223776224E-2</v>
      </c>
      <c r="R21" s="7">
        <f>Q21*C31</f>
        <v>0.3346263111888112</v>
      </c>
      <c r="S21" s="7">
        <f t="shared" si="3"/>
        <v>3.346263111888112E-2</v>
      </c>
    </row>
    <row r="22" spans="1:19">
      <c r="A22">
        <v>20</v>
      </c>
      <c r="B22">
        <v>10</v>
      </c>
      <c r="I22" t="s">
        <v>55</v>
      </c>
      <c r="J22">
        <f>J20</f>
        <v>7</v>
      </c>
      <c r="K22">
        <f t="shared" ref="K22:L22" si="18">K20</f>
        <v>3</v>
      </c>
      <c r="L22">
        <f t="shared" si="18"/>
        <v>8</v>
      </c>
      <c r="M22">
        <f>E18-M20</f>
        <v>18</v>
      </c>
      <c r="N22">
        <f>F18</f>
        <v>48</v>
      </c>
      <c r="O22">
        <f t="shared" si="7"/>
        <v>145152</v>
      </c>
      <c r="P22" s="7">
        <f t="shared" si="1"/>
        <v>2.2945804195804195E-3</v>
      </c>
      <c r="Q22" s="7">
        <f t="shared" si="2"/>
        <v>4.5891608391608392E-2</v>
      </c>
      <c r="R22" s="7">
        <f>Q22*D31</f>
        <v>9.1783216783216784E-2</v>
      </c>
      <c r="S22" s="7">
        <f t="shared" si="3"/>
        <v>9.178321678321678E-3</v>
      </c>
    </row>
    <row r="23" spans="1:19">
      <c r="I23" s="8" t="s">
        <v>56</v>
      </c>
      <c r="J23" s="8">
        <f>B3+B11</f>
        <v>2</v>
      </c>
      <c r="K23" s="8">
        <f>C3+C11</f>
        <v>7</v>
      </c>
      <c r="L23" s="8">
        <f>D3+D11</f>
        <v>6</v>
      </c>
      <c r="M23" s="8">
        <f>E3+E11</f>
        <v>28</v>
      </c>
      <c r="N23" s="8">
        <f>F3+F11</f>
        <v>6</v>
      </c>
      <c r="O23" s="8">
        <f t="shared" si="7"/>
        <v>14112</v>
      </c>
      <c r="P23" s="9">
        <f t="shared" si="1"/>
        <v>2.2308420745920747E-4</v>
      </c>
      <c r="Q23" s="9">
        <f t="shared" si="2"/>
        <v>4.461684149184149E-3</v>
      </c>
      <c r="R23" s="9">
        <f>Q23*B32</f>
        <v>0.11154210372960373</v>
      </c>
      <c r="S23" s="9">
        <f t="shared" si="3"/>
        <v>1.1154210372960372E-2</v>
      </c>
    </row>
    <row r="24" spans="1:19">
      <c r="A24" s="1" t="s">
        <v>0</v>
      </c>
      <c r="B24" s="1" t="s">
        <v>1</v>
      </c>
      <c r="C24" s="1" t="s">
        <v>2</v>
      </c>
      <c r="D24" s="1" t="s">
        <v>3</v>
      </c>
      <c r="I24" t="s">
        <v>57</v>
      </c>
      <c r="J24">
        <f>J23</f>
        <v>2</v>
      </c>
      <c r="K24">
        <f t="shared" ref="K24:M24" si="19">K23</f>
        <v>7</v>
      </c>
      <c r="L24">
        <f t="shared" si="19"/>
        <v>6</v>
      </c>
      <c r="M24">
        <f t="shared" si="19"/>
        <v>28</v>
      </c>
      <c r="N24">
        <f>F18-N23</f>
        <v>42</v>
      </c>
      <c r="O24">
        <f t="shared" si="7"/>
        <v>98784</v>
      </c>
      <c r="P24" s="7">
        <f t="shared" si="1"/>
        <v>1.5615894522144522E-3</v>
      </c>
      <c r="Q24" s="7">
        <f t="shared" si="2"/>
        <v>3.1231789044289044E-2</v>
      </c>
      <c r="R24" s="7">
        <f>Q24*C32</f>
        <v>0.15615894522144522</v>
      </c>
      <c r="S24" s="7">
        <f t="shared" si="3"/>
        <v>1.5615894522144522E-2</v>
      </c>
    </row>
    <row r="25" spans="1:19">
      <c r="A25" t="s">
        <v>4</v>
      </c>
      <c r="B25" s="2">
        <v>75</v>
      </c>
      <c r="C25" s="2">
        <v>25</v>
      </c>
      <c r="D25" s="2">
        <v>2</v>
      </c>
      <c r="I25" t="s">
        <v>58</v>
      </c>
      <c r="J25">
        <f>J23</f>
        <v>2</v>
      </c>
      <c r="K25">
        <f t="shared" ref="K25:L25" si="20">K23</f>
        <v>7</v>
      </c>
      <c r="L25">
        <f t="shared" si="20"/>
        <v>6</v>
      </c>
      <c r="M25">
        <f>E18-M23</f>
        <v>20</v>
      </c>
      <c r="N25">
        <f>F18</f>
        <v>48</v>
      </c>
      <c r="O25">
        <f t="shared" si="7"/>
        <v>80640</v>
      </c>
      <c r="P25" s="7">
        <f t="shared" si="1"/>
        <v>1.2747668997668998E-3</v>
      </c>
      <c r="Q25" s="7">
        <f t="shared" si="2"/>
        <v>2.5495337995337996E-2</v>
      </c>
      <c r="R25" s="7">
        <f>Q25*D32</f>
        <v>5.0990675990675992E-2</v>
      </c>
      <c r="S25" s="7">
        <f t="shared" si="3"/>
        <v>5.099067599067599E-3</v>
      </c>
    </row>
    <row r="26" spans="1:19">
      <c r="A26" t="s">
        <v>5</v>
      </c>
      <c r="B26" s="2">
        <v>50</v>
      </c>
      <c r="C26" s="2">
        <v>12</v>
      </c>
      <c r="D26" s="2">
        <v>2</v>
      </c>
      <c r="I26" s="8" t="s">
        <v>59</v>
      </c>
      <c r="J26" s="8">
        <f>B3+B12</f>
        <v>2</v>
      </c>
      <c r="K26" s="8">
        <f>C3+C12</f>
        <v>7</v>
      </c>
      <c r="L26" s="8">
        <f>D3+D12</f>
        <v>6</v>
      </c>
      <c r="M26" s="8">
        <f>E3+E12</f>
        <v>32</v>
      </c>
      <c r="N26" s="8">
        <f>F3+F12</f>
        <v>6</v>
      </c>
      <c r="O26" s="8">
        <f t="shared" si="7"/>
        <v>16128</v>
      </c>
      <c r="P26" s="9">
        <f t="shared" si="1"/>
        <v>2.5495337995337994E-4</v>
      </c>
      <c r="Q26" s="9">
        <f t="shared" si="2"/>
        <v>5.099067599067599E-3</v>
      </c>
      <c r="R26" s="9">
        <f>Q26*B33</f>
        <v>0.12747668997668998</v>
      </c>
      <c r="S26" s="9">
        <f t="shared" si="3"/>
        <v>1.2747668997668998E-2</v>
      </c>
    </row>
    <row r="27" spans="1:19">
      <c r="A27" t="s">
        <v>6</v>
      </c>
      <c r="B27" s="2">
        <v>50</v>
      </c>
      <c r="C27" s="2">
        <v>12</v>
      </c>
      <c r="D27" s="2">
        <v>2</v>
      </c>
      <c r="I27" t="s">
        <v>60</v>
      </c>
      <c r="J27">
        <f>J26</f>
        <v>2</v>
      </c>
      <c r="K27">
        <f t="shared" ref="K27:M27" si="21">K26</f>
        <v>7</v>
      </c>
      <c r="L27">
        <f t="shared" si="21"/>
        <v>6</v>
      </c>
      <c r="M27">
        <f t="shared" si="21"/>
        <v>32</v>
      </c>
      <c r="N27">
        <f>F18-N26</f>
        <v>42</v>
      </c>
      <c r="O27">
        <f t="shared" si="7"/>
        <v>112896</v>
      </c>
      <c r="P27" s="7">
        <f t="shared" si="1"/>
        <v>1.7846736596736597E-3</v>
      </c>
      <c r="Q27" s="7">
        <f t="shared" si="2"/>
        <v>3.5693473193473192E-2</v>
      </c>
      <c r="R27" s="7">
        <f>Q27*C33</f>
        <v>0.17846736596736595</v>
      </c>
      <c r="S27" s="7">
        <f t="shared" si="3"/>
        <v>1.7846736596736596E-2</v>
      </c>
    </row>
    <row r="28" spans="1:19">
      <c r="A28" t="s">
        <v>7</v>
      </c>
      <c r="B28" s="2">
        <v>50</v>
      </c>
      <c r="C28" s="2">
        <v>12</v>
      </c>
      <c r="D28" s="2">
        <v>2</v>
      </c>
      <c r="I28" t="s">
        <v>61</v>
      </c>
      <c r="J28">
        <f>J26</f>
        <v>2</v>
      </c>
      <c r="K28">
        <f t="shared" ref="K28:L28" si="22">K26</f>
        <v>7</v>
      </c>
      <c r="L28">
        <f t="shared" si="22"/>
        <v>6</v>
      </c>
      <c r="M28">
        <f>E18-M26</f>
        <v>16</v>
      </c>
      <c r="N28">
        <f>F18</f>
        <v>48</v>
      </c>
      <c r="O28">
        <f t="shared" si="7"/>
        <v>64512</v>
      </c>
      <c r="P28" s="7">
        <f t="shared" si="1"/>
        <v>1.0198135198135198E-3</v>
      </c>
      <c r="Q28" s="7">
        <f t="shared" si="2"/>
        <v>2.0396270396270396E-2</v>
      </c>
      <c r="R28" s="7">
        <f>Q28*D33</f>
        <v>4.0792540792540792E-2</v>
      </c>
      <c r="S28" s="7">
        <f t="shared" si="3"/>
        <v>4.079254079254079E-3</v>
      </c>
    </row>
    <row r="29" spans="1:19">
      <c r="A29" t="s">
        <v>8</v>
      </c>
      <c r="B29" s="2">
        <v>40</v>
      </c>
      <c r="C29" s="2">
        <v>7</v>
      </c>
      <c r="D29" s="2">
        <v>2</v>
      </c>
      <c r="Q29" s="7">
        <f>SUM(Q2:Q28)</f>
        <v>0.78671328671328677</v>
      </c>
      <c r="S29" s="7">
        <f>SUM(S2:S28)</f>
        <v>0.588634239024864</v>
      </c>
    </row>
    <row r="30" spans="1:19">
      <c r="A30" t="s">
        <v>9</v>
      </c>
      <c r="B30" s="2">
        <v>25</v>
      </c>
      <c r="C30" s="2">
        <v>5</v>
      </c>
      <c r="D30" s="2">
        <v>2</v>
      </c>
    </row>
    <row r="31" spans="1:19">
      <c r="A31" t="s">
        <v>10</v>
      </c>
      <c r="B31" s="2">
        <v>25</v>
      </c>
      <c r="C31" s="2">
        <v>5</v>
      </c>
      <c r="D31" s="2">
        <v>2</v>
      </c>
    </row>
    <row r="32" spans="1:19">
      <c r="A32" t="s">
        <v>11</v>
      </c>
      <c r="B32" s="2">
        <v>25</v>
      </c>
      <c r="C32" s="2">
        <v>5</v>
      </c>
      <c r="D32" s="2">
        <v>2</v>
      </c>
    </row>
    <row r="33" spans="1:4">
      <c r="A33" t="s">
        <v>12</v>
      </c>
      <c r="B33" s="2">
        <v>25</v>
      </c>
      <c r="C33" s="2">
        <v>5</v>
      </c>
      <c r="D33" s="2">
        <v>2</v>
      </c>
    </row>
    <row r="34" spans="1:4">
      <c r="B34" s="2"/>
      <c r="C34" s="2"/>
      <c r="D34" s="2"/>
    </row>
    <row r="37" spans="1:4">
      <c r="A37" t="s">
        <v>66</v>
      </c>
      <c r="B37" t="s">
        <v>81</v>
      </c>
      <c r="C37" t="s">
        <v>80</v>
      </c>
      <c r="D37" t="s">
        <v>82</v>
      </c>
    </row>
    <row r="38" spans="1:4">
      <c r="A38" t="s">
        <v>20</v>
      </c>
      <c r="B38">
        <v>30</v>
      </c>
      <c r="C38" s="7">
        <f>B38/$B$40</f>
        <v>0.3</v>
      </c>
      <c r="D38">
        <f>'Step-2'!S29</f>
        <v>0.37953832192113435</v>
      </c>
    </row>
    <row r="39" spans="1:4">
      <c r="A39" t="s">
        <v>19</v>
      </c>
      <c r="B39">
        <v>70</v>
      </c>
      <c r="C39" s="7">
        <f>B39/$B$40</f>
        <v>0.7</v>
      </c>
      <c r="D39" s="7">
        <f>S29</f>
        <v>0.588634239024864</v>
      </c>
    </row>
    <row r="40" spans="1:4">
      <c r="B40">
        <f>SUM(B38:B39)</f>
        <v>100</v>
      </c>
      <c r="D40">
        <f>SUMPRODUCT(C38:C39,D38:D39)</f>
        <v>0.52590546389374504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AC695-C3D5-4E4B-86DC-952B58243DB9}">
  <dimension ref="A1:O34"/>
  <sheetViews>
    <sheetView workbookViewId="0">
      <selection activeCell="L10" sqref="L10"/>
    </sheetView>
  </sheetViews>
  <sheetFormatPr defaultRowHeight="14.5"/>
  <cols>
    <col min="2" max="2" width="8.90625" customWidth="1"/>
  </cols>
  <sheetData>
    <row r="1" spans="1:15">
      <c r="A1" s="53" t="s">
        <v>13</v>
      </c>
      <c r="B1" s="53" t="s">
        <v>13</v>
      </c>
      <c r="C1" s="53" t="s">
        <v>13</v>
      </c>
      <c r="D1" s="53" t="s">
        <v>13</v>
      </c>
      <c r="E1" s="53" t="s">
        <v>13</v>
      </c>
      <c r="F1" s="53" t="s">
        <v>13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31</v>
      </c>
      <c r="O1" s="3" t="s">
        <v>62</v>
      </c>
    </row>
    <row r="2" spans="1:15">
      <c r="A2" s="1" t="s">
        <v>0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H2" s="12" t="s">
        <v>29</v>
      </c>
      <c r="I2" s="8">
        <f>B3+B4</f>
        <v>2</v>
      </c>
      <c r="J2" s="8">
        <f>$C$3+$C$4</f>
        <v>1</v>
      </c>
      <c r="K2" s="8">
        <f>$D$14</f>
        <v>3</v>
      </c>
      <c r="L2" s="8">
        <f>E3+E4</f>
        <v>32</v>
      </c>
      <c r="M2" s="8">
        <f>F3+F4</f>
        <v>3</v>
      </c>
      <c r="N2" s="8">
        <f>PRODUCT(I2:M2)</f>
        <v>576</v>
      </c>
      <c r="O2" s="14">
        <f t="shared" ref="O2:O28" si="0">N2/$B$19</f>
        <v>9.1054778554778555E-6</v>
      </c>
    </row>
    <row r="3" spans="1:15">
      <c r="A3" t="s">
        <v>19</v>
      </c>
      <c r="B3">
        <v>0</v>
      </c>
      <c r="C3">
        <v>1</v>
      </c>
      <c r="D3">
        <v>3</v>
      </c>
      <c r="E3">
        <v>28</v>
      </c>
      <c r="F3">
        <v>0</v>
      </c>
      <c r="H3" t="s">
        <v>36</v>
      </c>
      <c r="I3">
        <f>I2</f>
        <v>2</v>
      </c>
      <c r="J3">
        <f t="shared" ref="J3:L3" si="1">J2</f>
        <v>1</v>
      </c>
      <c r="K3" s="8">
        <f t="shared" ref="K3:K28" si="2">$D$14</f>
        <v>3</v>
      </c>
      <c r="L3">
        <f t="shared" si="1"/>
        <v>32</v>
      </c>
      <c r="M3">
        <f>F18-M2</f>
        <v>45</v>
      </c>
      <c r="N3">
        <f>PRODUCT(I3:M3)</f>
        <v>8640</v>
      </c>
      <c r="O3" s="15">
        <f t="shared" si="0"/>
        <v>1.3658216783216784E-4</v>
      </c>
    </row>
    <row r="4" spans="1:15">
      <c r="A4" t="s">
        <v>4</v>
      </c>
      <c r="B4">
        <v>2</v>
      </c>
      <c r="C4">
        <v>0</v>
      </c>
      <c r="D4">
        <v>6</v>
      </c>
      <c r="E4">
        <v>4</v>
      </c>
      <c r="F4">
        <v>3</v>
      </c>
      <c r="H4" t="s">
        <v>37</v>
      </c>
      <c r="I4">
        <f>I2</f>
        <v>2</v>
      </c>
      <c r="J4">
        <f t="shared" ref="J4" si="3">J2</f>
        <v>1</v>
      </c>
      <c r="K4" s="8">
        <f t="shared" si="2"/>
        <v>3</v>
      </c>
      <c r="L4">
        <f>E18-L2</f>
        <v>16</v>
      </c>
      <c r="M4">
        <v>48</v>
      </c>
      <c r="N4">
        <f>PRODUCT(I4:M4)</f>
        <v>4608</v>
      </c>
      <c r="O4" s="15">
        <f t="shared" si="0"/>
        <v>7.2843822843822844E-5</v>
      </c>
    </row>
    <row r="5" spans="1:15">
      <c r="A5" t="s">
        <v>5</v>
      </c>
      <c r="B5">
        <v>3</v>
      </c>
      <c r="C5">
        <v>0</v>
      </c>
      <c r="D5">
        <v>4</v>
      </c>
      <c r="E5">
        <v>4</v>
      </c>
      <c r="F5">
        <v>4</v>
      </c>
      <c r="H5" s="12" t="s">
        <v>38</v>
      </c>
      <c r="I5" s="8">
        <f>B3+B5</f>
        <v>3</v>
      </c>
      <c r="J5" s="8">
        <f>C3+C5</f>
        <v>1</v>
      </c>
      <c r="K5" s="8">
        <f t="shared" si="2"/>
        <v>3</v>
      </c>
      <c r="L5" s="8">
        <f>E3+E5</f>
        <v>32</v>
      </c>
      <c r="M5" s="8">
        <f>F3+F5</f>
        <v>4</v>
      </c>
      <c r="N5" s="8">
        <f t="shared" ref="N5:N28" si="4">PRODUCT(I5:M5)</f>
        <v>1152</v>
      </c>
      <c r="O5" s="14">
        <f t="shared" si="0"/>
        <v>1.8210955710955711E-5</v>
      </c>
    </row>
    <row r="6" spans="1:15">
      <c r="A6" t="s">
        <v>6</v>
      </c>
      <c r="B6">
        <v>3</v>
      </c>
      <c r="C6">
        <v>0</v>
      </c>
      <c r="D6">
        <v>0</v>
      </c>
      <c r="E6">
        <v>0</v>
      </c>
      <c r="F6">
        <v>6</v>
      </c>
      <c r="H6" t="s">
        <v>39</v>
      </c>
      <c r="I6">
        <f>I5</f>
        <v>3</v>
      </c>
      <c r="J6">
        <f t="shared" ref="J6:L6" si="5">J5</f>
        <v>1</v>
      </c>
      <c r="K6" s="8">
        <f t="shared" si="2"/>
        <v>3</v>
      </c>
      <c r="L6">
        <f t="shared" si="5"/>
        <v>32</v>
      </c>
      <c r="M6">
        <f>F18-M5</f>
        <v>44</v>
      </c>
      <c r="N6">
        <f t="shared" si="4"/>
        <v>12672</v>
      </c>
      <c r="O6" s="15">
        <f t="shared" si="0"/>
        <v>2.0032051282051281E-4</v>
      </c>
    </row>
    <row r="7" spans="1:15">
      <c r="A7" t="s">
        <v>7</v>
      </c>
      <c r="B7">
        <v>2</v>
      </c>
      <c r="C7">
        <v>8</v>
      </c>
      <c r="D7">
        <v>2</v>
      </c>
      <c r="E7">
        <v>0</v>
      </c>
      <c r="F7">
        <v>6</v>
      </c>
      <c r="H7" t="s">
        <v>40</v>
      </c>
      <c r="I7">
        <f>I5</f>
        <v>3</v>
      </c>
      <c r="J7">
        <f t="shared" ref="J7" si="6">J5</f>
        <v>1</v>
      </c>
      <c r="K7" s="8">
        <f t="shared" si="2"/>
        <v>3</v>
      </c>
      <c r="L7">
        <f>$E$18-$E$3-$E$5</f>
        <v>16</v>
      </c>
      <c r="M7">
        <f>F18</f>
        <v>48</v>
      </c>
      <c r="N7">
        <f t="shared" si="4"/>
        <v>6912</v>
      </c>
      <c r="O7" s="15">
        <f t="shared" si="0"/>
        <v>1.0926573426573427E-4</v>
      </c>
    </row>
    <row r="8" spans="1:15">
      <c r="A8" t="s">
        <v>8</v>
      </c>
      <c r="B8">
        <v>4</v>
      </c>
      <c r="C8">
        <v>8</v>
      </c>
      <c r="D8">
        <v>4</v>
      </c>
      <c r="E8">
        <v>6</v>
      </c>
      <c r="F8">
        <v>5</v>
      </c>
      <c r="H8" s="8" t="s">
        <v>41</v>
      </c>
      <c r="I8" s="8">
        <f>$B$3+$B$6</f>
        <v>3</v>
      </c>
      <c r="J8" s="8">
        <f>$C$3+$C$6</f>
        <v>1</v>
      </c>
      <c r="K8" s="8">
        <f t="shared" si="2"/>
        <v>3</v>
      </c>
      <c r="L8" s="8">
        <f>E3+E6</f>
        <v>28</v>
      </c>
      <c r="M8" s="8">
        <f>F3+F6</f>
        <v>6</v>
      </c>
      <c r="N8" s="8">
        <f t="shared" si="4"/>
        <v>1512</v>
      </c>
      <c r="O8" s="14">
        <f t="shared" si="0"/>
        <v>2.3901879370629371E-5</v>
      </c>
    </row>
    <row r="9" spans="1:15">
      <c r="A9" t="s">
        <v>9</v>
      </c>
      <c r="B9">
        <v>7</v>
      </c>
      <c r="C9">
        <v>2</v>
      </c>
      <c r="D9">
        <v>2</v>
      </c>
      <c r="E9">
        <v>0</v>
      </c>
      <c r="F9">
        <v>6</v>
      </c>
      <c r="H9" t="s">
        <v>42</v>
      </c>
      <c r="I9">
        <f t="shared" ref="I9:I10" si="7">$B$3+$B$6</f>
        <v>3</v>
      </c>
      <c r="J9">
        <f t="shared" ref="J9:J10" si="8">$C$3+$C$6</f>
        <v>1</v>
      </c>
      <c r="K9" s="8">
        <f t="shared" si="2"/>
        <v>3</v>
      </c>
      <c r="L9">
        <f t="shared" ref="L9" si="9">L8</f>
        <v>28</v>
      </c>
      <c r="M9">
        <f>F18-M8</f>
        <v>42</v>
      </c>
      <c r="N9">
        <f t="shared" si="4"/>
        <v>10584</v>
      </c>
      <c r="O9" s="15">
        <f t="shared" si="0"/>
        <v>1.6731315559440559E-4</v>
      </c>
    </row>
    <row r="10" spans="1:15">
      <c r="A10" t="s">
        <v>10</v>
      </c>
      <c r="B10">
        <v>7</v>
      </c>
      <c r="C10">
        <v>2</v>
      </c>
      <c r="D10">
        <v>2</v>
      </c>
      <c r="E10">
        <v>2</v>
      </c>
      <c r="F10">
        <v>6</v>
      </c>
      <c r="H10" t="s">
        <v>43</v>
      </c>
      <c r="I10">
        <f t="shared" si="7"/>
        <v>3</v>
      </c>
      <c r="J10" s="16">
        <f t="shared" si="8"/>
        <v>1</v>
      </c>
      <c r="K10" s="8">
        <f t="shared" si="2"/>
        <v>3</v>
      </c>
      <c r="L10">
        <f>E18-L9</f>
        <v>20</v>
      </c>
      <c r="M10">
        <f>F18</f>
        <v>48</v>
      </c>
      <c r="N10">
        <f t="shared" si="4"/>
        <v>8640</v>
      </c>
      <c r="O10" s="15">
        <f t="shared" si="0"/>
        <v>1.3658216783216784E-4</v>
      </c>
    </row>
    <row r="11" spans="1:15">
      <c r="A11" t="s">
        <v>11</v>
      </c>
      <c r="B11">
        <v>2</v>
      </c>
      <c r="C11">
        <v>6</v>
      </c>
      <c r="D11">
        <v>0</v>
      </c>
      <c r="E11">
        <v>0</v>
      </c>
      <c r="F11">
        <v>6</v>
      </c>
      <c r="H11" s="8" t="s">
        <v>44</v>
      </c>
      <c r="I11" s="8">
        <f>$B$3+$B$7</f>
        <v>2</v>
      </c>
      <c r="J11" s="8">
        <f>$C$3+$C$7</f>
        <v>9</v>
      </c>
      <c r="K11" s="8">
        <f t="shared" si="2"/>
        <v>3</v>
      </c>
      <c r="L11" s="8">
        <f>E3+E7</f>
        <v>28</v>
      </c>
      <c r="M11" s="8">
        <f>F3+F7</f>
        <v>6</v>
      </c>
      <c r="N11" s="8">
        <f t="shared" si="4"/>
        <v>9072</v>
      </c>
      <c r="O11" s="14">
        <f t="shared" si="0"/>
        <v>1.4341127622377622E-4</v>
      </c>
    </row>
    <row r="12" spans="1:15">
      <c r="A12" t="s">
        <v>12</v>
      </c>
      <c r="B12">
        <v>2</v>
      </c>
      <c r="C12">
        <v>6</v>
      </c>
      <c r="D12">
        <v>0</v>
      </c>
      <c r="E12">
        <v>4</v>
      </c>
      <c r="F12">
        <v>6</v>
      </c>
      <c r="H12" t="s">
        <v>45</v>
      </c>
      <c r="I12">
        <f>I11</f>
        <v>2</v>
      </c>
      <c r="J12">
        <f t="shared" ref="J12:L13" si="10">J11</f>
        <v>9</v>
      </c>
      <c r="K12" s="8">
        <f t="shared" si="2"/>
        <v>3</v>
      </c>
      <c r="L12">
        <f t="shared" si="10"/>
        <v>28</v>
      </c>
      <c r="M12">
        <f>F18-M11</f>
        <v>42</v>
      </c>
      <c r="N12">
        <f t="shared" si="4"/>
        <v>63504</v>
      </c>
      <c r="O12" s="15">
        <f t="shared" si="0"/>
        <v>1.0038789335664335E-3</v>
      </c>
    </row>
    <row r="13" spans="1:15">
      <c r="A13" t="s">
        <v>20</v>
      </c>
      <c r="B13">
        <v>0</v>
      </c>
      <c r="C13">
        <v>0</v>
      </c>
      <c r="D13">
        <v>0</v>
      </c>
      <c r="E13">
        <v>0</v>
      </c>
      <c r="F13">
        <v>0</v>
      </c>
      <c r="H13" t="s">
        <v>46</v>
      </c>
      <c r="I13">
        <f>I12</f>
        <v>2</v>
      </c>
      <c r="J13">
        <f t="shared" si="10"/>
        <v>9</v>
      </c>
      <c r="K13" s="8">
        <f t="shared" si="2"/>
        <v>3</v>
      </c>
      <c r="L13">
        <f>E18-L11</f>
        <v>20</v>
      </c>
      <c r="M13">
        <f>F18</f>
        <v>48</v>
      </c>
      <c r="N13">
        <f t="shared" si="4"/>
        <v>51840</v>
      </c>
      <c r="O13" s="15">
        <f t="shared" si="0"/>
        <v>8.19493006993007E-4</v>
      </c>
    </row>
    <row r="14" spans="1:15">
      <c r="A14" t="s">
        <v>21</v>
      </c>
      <c r="B14">
        <v>0</v>
      </c>
      <c r="C14">
        <v>0</v>
      </c>
      <c r="D14">
        <v>3</v>
      </c>
      <c r="E14">
        <v>0</v>
      </c>
      <c r="F14">
        <v>0</v>
      </c>
      <c r="H14" s="8" t="s">
        <v>47</v>
      </c>
      <c r="I14" s="8">
        <f>$B$3+$B$8</f>
        <v>4</v>
      </c>
      <c r="J14" s="8">
        <f>$C$3+$C$8</f>
        <v>9</v>
      </c>
      <c r="K14" s="8">
        <f t="shared" si="2"/>
        <v>3</v>
      </c>
      <c r="L14" s="8">
        <f>E3+E8</f>
        <v>34</v>
      </c>
      <c r="M14" s="8">
        <f>F3+F8</f>
        <v>5</v>
      </c>
      <c r="N14" s="8">
        <f t="shared" si="4"/>
        <v>18360</v>
      </c>
      <c r="O14" s="14">
        <f t="shared" si="0"/>
        <v>2.9023710664335663E-4</v>
      </c>
    </row>
    <row r="15" spans="1:15">
      <c r="A15" t="s">
        <v>68</v>
      </c>
      <c r="B15">
        <v>0</v>
      </c>
      <c r="C15">
        <v>0</v>
      </c>
      <c r="D15">
        <v>0</v>
      </c>
      <c r="E15">
        <v>0</v>
      </c>
      <c r="F15">
        <v>0</v>
      </c>
      <c r="H15" t="s">
        <v>48</v>
      </c>
      <c r="I15">
        <f t="shared" ref="I15:I16" si="11">$B$3+$B$8</f>
        <v>4</v>
      </c>
      <c r="J15">
        <f t="shared" ref="J15:J16" si="12">$C$3+$C$8</f>
        <v>9</v>
      </c>
      <c r="K15" s="8">
        <f t="shared" si="2"/>
        <v>3</v>
      </c>
      <c r="L15">
        <f>L14</f>
        <v>34</v>
      </c>
      <c r="M15">
        <f>F18-M14</f>
        <v>43</v>
      </c>
      <c r="N15">
        <f t="shared" si="4"/>
        <v>157896</v>
      </c>
      <c r="O15" s="15">
        <f t="shared" si="0"/>
        <v>2.496039117132867E-3</v>
      </c>
    </row>
    <row r="16" spans="1:15">
      <c r="A16" t="s">
        <v>69</v>
      </c>
      <c r="B16">
        <v>0</v>
      </c>
      <c r="C16">
        <v>0</v>
      </c>
      <c r="D16">
        <v>0</v>
      </c>
      <c r="E16">
        <v>0</v>
      </c>
      <c r="F16">
        <v>0</v>
      </c>
      <c r="H16" t="s">
        <v>49</v>
      </c>
      <c r="I16">
        <f t="shared" si="11"/>
        <v>4</v>
      </c>
      <c r="J16">
        <f t="shared" si="12"/>
        <v>9</v>
      </c>
      <c r="K16" s="8">
        <f t="shared" si="2"/>
        <v>3</v>
      </c>
      <c r="L16">
        <f>E18-L14</f>
        <v>14</v>
      </c>
      <c r="M16">
        <f>F18</f>
        <v>48</v>
      </c>
      <c r="N16">
        <f t="shared" si="4"/>
        <v>72576</v>
      </c>
      <c r="O16" s="15">
        <f t="shared" si="0"/>
        <v>1.1472902097902098E-3</v>
      </c>
    </row>
    <row r="17" spans="1:15">
      <c r="A17" t="s">
        <v>70</v>
      </c>
      <c r="B17">
        <v>0</v>
      </c>
      <c r="C17">
        <v>0</v>
      </c>
      <c r="D17">
        <v>0</v>
      </c>
      <c r="E17">
        <v>0</v>
      </c>
      <c r="F17">
        <v>0</v>
      </c>
      <c r="H17" s="8" t="s">
        <v>50</v>
      </c>
      <c r="I17" s="8">
        <f>B3+B9</f>
        <v>7</v>
      </c>
      <c r="J17" s="8">
        <f>C3+C9</f>
        <v>3</v>
      </c>
      <c r="K17" s="8">
        <f t="shared" si="2"/>
        <v>3</v>
      </c>
      <c r="L17" s="8">
        <f>E3+E9</f>
        <v>28</v>
      </c>
      <c r="M17" s="8">
        <f>F3+F9</f>
        <v>6</v>
      </c>
      <c r="N17" s="8">
        <f t="shared" si="4"/>
        <v>10584</v>
      </c>
      <c r="O17" s="14">
        <f t="shared" si="0"/>
        <v>1.6731315559440559E-4</v>
      </c>
    </row>
    <row r="18" spans="1:15">
      <c r="A18" s="1" t="s">
        <v>22</v>
      </c>
      <c r="B18" s="5">
        <f>SUM(B3:B17)</f>
        <v>32</v>
      </c>
      <c r="C18" s="5">
        <f>SUM(C3:C17)</f>
        <v>33</v>
      </c>
      <c r="D18" s="5">
        <f>SUM(D3:D17)</f>
        <v>26</v>
      </c>
      <c r="E18" s="5">
        <f>SUM(E3:E17)</f>
        <v>48</v>
      </c>
      <c r="F18" s="5">
        <f>SUM(F3:F17)</f>
        <v>48</v>
      </c>
      <c r="H18" t="s">
        <v>51</v>
      </c>
      <c r="I18">
        <f>I17</f>
        <v>7</v>
      </c>
      <c r="J18">
        <f t="shared" ref="J18:L18" si="13">J17</f>
        <v>3</v>
      </c>
      <c r="K18" s="8">
        <f t="shared" si="2"/>
        <v>3</v>
      </c>
      <c r="L18">
        <f t="shared" si="13"/>
        <v>28</v>
      </c>
      <c r="M18">
        <f>F18-M17</f>
        <v>42</v>
      </c>
      <c r="N18">
        <f t="shared" si="4"/>
        <v>74088</v>
      </c>
      <c r="O18" s="15">
        <f t="shared" si="0"/>
        <v>1.1711920891608392E-3</v>
      </c>
    </row>
    <row r="19" spans="1:15">
      <c r="A19" s="4" t="s">
        <v>33</v>
      </c>
      <c r="B19" s="54">
        <f>PRODUCT(B18:F18)</f>
        <v>63258624</v>
      </c>
      <c r="C19" s="54"/>
      <c r="D19" s="54"/>
      <c r="E19" s="54"/>
      <c r="F19" s="54"/>
      <c r="H19" t="s">
        <v>52</v>
      </c>
      <c r="I19">
        <f>I17</f>
        <v>7</v>
      </c>
      <c r="J19">
        <f t="shared" ref="J19" si="14">J17</f>
        <v>3</v>
      </c>
      <c r="K19" s="8">
        <f t="shared" si="2"/>
        <v>3</v>
      </c>
      <c r="L19">
        <f>E18-L17</f>
        <v>20</v>
      </c>
      <c r="M19">
        <f>F18</f>
        <v>48</v>
      </c>
      <c r="N19">
        <f t="shared" si="4"/>
        <v>60480</v>
      </c>
      <c r="O19" s="15">
        <f t="shared" si="0"/>
        <v>9.5607517482517487E-4</v>
      </c>
    </row>
    <row r="20" spans="1:15">
      <c r="A20" s="11"/>
      <c r="B20" s="6"/>
      <c r="H20" s="8" t="s">
        <v>53</v>
      </c>
      <c r="I20" s="8">
        <f>B3+B10</f>
        <v>7</v>
      </c>
      <c r="J20" s="8">
        <f>C3+C10</f>
        <v>3</v>
      </c>
      <c r="K20" s="8">
        <f t="shared" si="2"/>
        <v>3</v>
      </c>
      <c r="L20" s="8">
        <f>E3+E10</f>
        <v>30</v>
      </c>
      <c r="M20" s="8">
        <f>F3+F10</f>
        <v>6</v>
      </c>
      <c r="N20" s="8">
        <f t="shared" si="4"/>
        <v>11340</v>
      </c>
      <c r="O20" s="14">
        <f t="shared" si="0"/>
        <v>1.7926409527972028E-4</v>
      </c>
    </row>
    <row r="21" spans="1:15">
      <c r="A21" s="3" t="s">
        <v>30</v>
      </c>
      <c r="B21" s="3" t="s">
        <v>34</v>
      </c>
      <c r="H21" t="s">
        <v>54</v>
      </c>
      <c r="I21">
        <f>I20</f>
        <v>7</v>
      </c>
      <c r="J21">
        <f t="shared" ref="J21:L21" si="15">J20</f>
        <v>3</v>
      </c>
      <c r="K21" s="8">
        <f t="shared" si="2"/>
        <v>3</v>
      </c>
      <c r="L21">
        <f t="shared" si="15"/>
        <v>30</v>
      </c>
      <c r="M21">
        <f>F18-M20</f>
        <v>42</v>
      </c>
      <c r="N21">
        <f t="shared" si="4"/>
        <v>79380</v>
      </c>
      <c r="O21" s="15">
        <f t="shared" si="0"/>
        <v>1.254848666958042E-3</v>
      </c>
    </row>
    <row r="22" spans="1:15">
      <c r="A22">
        <v>20</v>
      </c>
      <c r="B22">
        <v>10</v>
      </c>
      <c r="H22" t="s">
        <v>55</v>
      </c>
      <c r="I22">
        <f>I20</f>
        <v>7</v>
      </c>
      <c r="J22">
        <f t="shared" ref="J22" si="16">J20</f>
        <v>3</v>
      </c>
      <c r="K22" s="8">
        <f t="shared" si="2"/>
        <v>3</v>
      </c>
      <c r="L22">
        <f>E18-L20</f>
        <v>18</v>
      </c>
      <c r="M22">
        <f>F18</f>
        <v>48</v>
      </c>
      <c r="N22">
        <f t="shared" si="4"/>
        <v>54432</v>
      </c>
      <c r="O22" s="15">
        <f t="shared" si="0"/>
        <v>8.6046765734265737E-4</v>
      </c>
    </row>
    <row r="23" spans="1:15">
      <c r="H23" s="8" t="s">
        <v>56</v>
      </c>
      <c r="I23" s="8">
        <f>B3+B11</f>
        <v>2</v>
      </c>
      <c r="J23" s="8">
        <f>C3+C11</f>
        <v>7</v>
      </c>
      <c r="K23" s="8">
        <f t="shared" si="2"/>
        <v>3</v>
      </c>
      <c r="L23" s="8">
        <f>E3+E11</f>
        <v>28</v>
      </c>
      <c r="M23" s="8">
        <f>F3+F11</f>
        <v>6</v>
      </c>
      <c r="N23" s="8">
        <f t="shared" si="4"/>
        <v>7056</v>
      </c>
      <c r="O23" s="14">
        <f t="shared" si="0"/>
        <v>1.1154210372960373E-4</v>
      </c>
    </row>
    <row r="24" spans="1:15">
      <c r="A24" s="1" t="s">
        <v>0</v>
      </c>
      <c r="B24" s="1" t="s">
        <v>1</v>
      </c>
      <c r="C24" s="1" t="s">
        <v>2</v>
      </c>
      <c r="D24" s="1" t="s">
        <v>3</v>
      </c>
      <c r="H24" t="s">
        <v>57</v>
      </c>
      <c r="I24">
        <f>I23</f>
        <v>2</v>
      </c>
      <c r="J24">
        <f t="shared" ref="J24:L24" si="17">J23</f>
        <v>7</v>
      </c>
      <c r="K24" s="8">
        <f t="shared" si="2"/>
        <v>3</v>
      </c>
      <c r="L24">
        <f t="shared" si="17"/>
        <v>28</v>
      </c>
      <c r="M24">
        <f>F18-M23</f>
        <v>42</v>
      </c>
      <c r="N24">
        <f t="shared" si="4"/>
        <v>49392</v>
      </c>
      <c r="O24" s="15">
        <f t="shared" si="0"/>
        <v>7.8079472610722612E-4</v>
      </c>
    </row>
    <row r="25" spans="1:15">
      <c r="A25" t="s">
        <v>4</v>
      </c>
      <c r="B25" s="2">
        <v>75</v>
      </c>
      <c r="C25" s="2">
        <v>25</v>
      </c>
      <c r="D25" s="2">
        <v>2</v>
      </c>
      <c r="H25" t="s">
        <v>58</v>
      </c>
      <c r="I25">
        <f>I23</f>
        <v>2</v>
      </c>
      <c r="J25">
        <f t="shared" ref="J25" si="18">J23</f>
        <v>7</v>
      </c>
      <c r="K25" s="8">
        <f t="shared" si="2"/>
        <v>3</v>
      </c>
      <c r="L25">
        <f>E18-L23</f>
        <v>20</v>
      </c>
      <c r="M25">
        <f>F18</f>
        <v>48</v>
      </c>
      <c r="N25">
        <f t="shared" si="4"/>
        <v>40320</v>
      </c>
      <c r="O25" s="15">
        <f t="shared" si="0"/>
        <v>6.3738344988344988E-4</v>
      </c>
    </row>
    <row r="26" spans="1:15">
      <c r="A26" t="s">
        <v>5</v>
      </c>
      <c r="B26" s="2">
        <v>50</v>
      </c>
      <c r="C26" s="2">
        <v>12</v>
      </c>
      <c r="D26" s="2">
        <v>2</v>
      </c>
      <c r="H26" s="8" t="s">
        <v>59</v>
      </c>
      <c r="I26" s="8">
        <f>B3+B12</f>
        <v>2</v>
      </c>
      <c r="J26" s="8">
        <f>C3+C12</f>
        <v>7</v>
      </c>
      <c r="K26" s="8">
        <f t="shared" si="2"/>
        <v>3</v>
      </c>
      <c r="L26" s="8">
        <f>E3+E12</f>
        <v>32</v>
      </c>
      <c r="M26" s="8">
        <f>F3+F12</f>
        <v>6</v>
      </c>
      <c r="N26" s="8">
        <f t="shared" si="4"/>
        <v>8064</v>
      </c>
      <c r="O26" s="14">
        <f t="shared" si="0"/>
        <v>1.2747668997668997E-4</v>
      </c>
    </row>
    <row r="27" spans="1:15">
      <c r="A27" t="s">
        <v>6</v>
      </c>
      <c r="B27" s="2">
        <v>50</v>
      </c>
      <c r="C27" s="2">
        <v>12</v>
      </c>
      <c r="D27" s="2">
        <v>2</v>
      </c>
      <c r="H27" t="s">
        <v>60</v>
      </c>
      <c r="I27">
        <f>I26</f>
        <v>2</v>
      </c>
      <c r="J27">
        <f t="shared" ref="J27:L27" si="19">J26</f>
        <v>7</v>
      </c>
      <c r="K27" s="8">
        <f t="shared" si="2"/>
        <v>3</v>
      </c>
      <c r="L27">
        <f t="shared" si="19"/>
        <v>32</v>
      </c>
      <c r="M27">
        <f>F18-M26</f>
        <v>42</v>
      </c>
      <c r="N27">
        <f t="shared" si="4"/>
        <v>56448</v>
      </c>
      <c r="O27" s="15">
        <f t="shared" si="0"/>
        <v>8.9233682983682987E-4</v>
      </c>
    </row>
    <row r="28" spans="1:15">
      <c r="A28" t="s">
        <v>7</v>
      </c>
      <c r="B28" s="2">
        <v>50</v>
      </c>
      <c r="C28" s="2">
        <v>12</v>
      </c>
      <c r="D28" s="2">
        <v>2</v>
      </c>
      <c r="H28" t="s">
        <v>61</v>
      </c>
      <c r="I28">
        <f>I26</f>
        <v>2</v>
      </c>
      <c r="J28">
        <f t="shared" ref="J28" si="20">J26</f>
        <v>7</v>
      </c>
      <c r="K28" s="8">
        <f t="shared" si="2"/>
        <v>3</v>
      </c>
      <c r="L28">
        <f>E18-L26</f>
        <v>16</v>
      </c>
      <c r="M28">
        <f>F18</f>
        <v>48</v>
      </c>
      <c r="N28">
        <f t="shared" si="4"/>
        <v>32256</v>
      </c>
      <c r="O28" s="15">
        <f t="shared" si="0"/>
        <v>5.0990675990675988E-4</v>
      </c>
    </row>
    <row r="29" spans="1:15">
      <c r="A29" t="s">
        <v>8</v>
      </c>
      <c r="B29" s="2">
        <v>40</v>
      </c>
      <c r="C29" s="2">
        <v>7</v>
      </c>
      <c r="D29" s="2">
        <v>2</v>
      </c>
      <c r="O29" s="15">
        <f>SUM(O2:O28)</f>
        <v>1.4423076923076924E-2</v>
      </c>
    </row>
    <row r="30" spans="1:15">
      <c r="A30" t="s">
        <v>9</v>
      </c>
      <c r="B30" s="2">
        <v>25</v>
      </c>
      <c r="C30" s="2">
        <v>5</v>
      </c>
      <c r="D30" s="2">
        <v>2</v>
      </c>
    </row>
    <row r="31" spans="1:15">
      <c r="A31" t="s">
        <v>10</v>
      </c>
      <c r="B31" s="2">
        <v>25</v>
      </c>
      <c r="C31" s="2">
        <v>5</v>
      </c>
      <c r="D31" s="2">
        <v>2</v>
      </c>
    </row>
    <row r="32" spans="1:15">
      <c r="A32" t="s">
        <v>11</v>
      </c>
      <c r="B32" s="2">
        <v>25</v>
      </c>
      <c r="C32" s="2">
        <v>5</v>
      </c>
      <c r="D32" s="2">
        <v>2</v>
      </c>
    </row>
    <row r="33" spans="1:4">
      <c r="A33" t="s">
        <v>12</v>
      </c>
      <c r="B33" s="2">
        <v>25</v>
      </c>
      <c r="C33" s="2">
        <v>5</v>
      </c>
      <c r="D33" s="2">
        <v>2</v>
      </c>
    </row>
    <row r="34" spans="1:4">
      <c r="B34" s="2"/>
      <c r="C34" s="2"/>
      <c r="D34" s="2"/>
    </row>
  </sheetData>
  <mergeCells count="2">
    <mergeCell ref="A1:F1"/>
    <mergeCell ref="B19:F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8626F-2237-48C9-AEB3-6CAC519734E0}">
  <dimension ref="A1:AI41"/>
  <sheetViews>
    <sheetView zoomScaleNormal="100" workbookViewId="0">
      <selection activeCell="I58" sqref="I58"/>
    </sheetView>
  </sheetViews>
  <sheetFormatPr defaultRowHeight="14.5"/>
  <cols>
    <col min="16" max="17" width="10.81640625" bestFit="1" customWidth="1"/>
    <col min="18" max="18" width="10.26953125" customWidth="1"/>
    <col min="19" max="19" width="19" bestFit="1" customWidth="1"/>
    <col min="23" max="23" width="16.7265625" customWidth="1"/>
    <col min="24" max="24" width="21.08984375" bestFit="1" customWidth="1"/>
    <col min="30" max="30" width="13.08984375" customWidth="1"/>
    <col min="31" max="31" width="12.81640625" customWidth="1"/>
    <col min="32" max="32" width="14.90625" customWidth="1"/>
    <col min="33" max="33" width="14" customWidth="1"/>
  </cols>
  <sheetData>
    <row r="1" spans="1:35">
      <c r="A1" s="53" t="s">
        <v>13</v>
      </c>
      <c r="B1" s="53" t="s">
        <v>13</v>
      </c>
      <c r="C1" s="53" t="s">
        <v>13</v>
      </c>
      <c r="D1" s="53" t="s">
        <v>13</v>
      </c>
      <c r="E1" s="53" t="s">
        <v>13</v>
      </c>
      <c r="F1" s="53" t="s">
        <v>13</v>
      </c>
      <c r="I1" s="3" t="s">
        <v>23</v>
      </c>
      <c r="J1" s="3" t="s">
        <v>24</v>
      </c>
      <c r="K1" s="3" t="s">
        <v>25</v>
      </c>
      <c r="L1" s="3" t="s">
        <v>26</v>
      </c>
      <c r="M1" s="3" t="s">
        <v>27</v>
      </c>
      <c r="N1" s="3" t="s">
        <v>28</v>
      </c>
      <c r="O1" s="3" t="s">
        <v>31</v>
      </c>
      <c r="P1" s="3" t="s">
        <v>62</v>
      </c>
      <c r="Q1" s="3" t="s">
        <v>63</v>
      </c>
      <c r="R1" s="3" t="s">
        <v>32</v>
      </c>
      <c r="S1" s="3" t="s">
        <v>35</v>
      </c>
      <c r="W1" s="3" t="s">
        <v>83</v>
      </c>
      <c r="X1" s="3" t="s">
        <v>24</v>
      </c>
      <c r="Y1" s="3" t="s">
        <v>25</v>
      </c>
      <c r="Z1" s="3" t="s">
        <v>26</v>
      </c>
      <c r="AA1" s="3" t="s">
        <v>27</v>
      </c>
      <c r="AB1" s="3" t="s">
        <v>28</v>
      </c>
      <c r="AC1" s="3" t="s">
        <v>31</v>
      </c>
      <c r="AD1" s="3" t="s">
        <v>62</v>
      </c>
      <c r="AE1" s="3" t="s">
        <v>63</v>
      </c>
      <c r="AF1" s="3" t="s">
        <v>32</v>
      </c>
      <c r="AG1" s="3" t="s">
        <v>35</v>
      </c>
    </row>
    <row r="2" spans="1:35">
      <c r="A2" s="1" t="s">
        <v>0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I2" s="12" t="s">
        <v>29</v>
      </c>
      <c r="J2" s="8">
        <f>B3+B4</f>
        <v>2</v>
      </c>
      <c r="K2" s="8">
        <f t="shared" ref="K2:N2" si="0">C3+C4</f>
        <v>1</v>
      </c>
      <c r="L2" s="8">
        <f t="shared" si="0"/>
        <v>9</v>
      </c>
      <c r="M2" s="8">
        <f t="shared" si="0"/>
        <v>32</v>
      </c>
      <c r="N2" s="8">
        <f t="shared" si="0"/>
        <v>3</v>
      </c>
      <c r="O2" s="8">
        <f>PRODUCT(J2:N2)</f>
        <v>1728</v>
      </c>
      <c r="P2" s="9">
        <f t="shared" ref="P2:P28" si="1">O2/$B$19</f>
        <v>2.0882833382833383E-5</v>
      </c>
      <c r="Q2" s="9">
        <f t="shared" ref="Q2:Q28" si="2">P2*$A$22</f>
        <v>4.1765666765666766E-4</v>
      </c>
      <c r="R2" s="9">
        <f>Q2*B25</f>
        <v>3.1324250074250076E-2</v>
      </c>
      <c r="S2" s="9">
        <f t="shared" ref="S2:S28" si="3">R2/$B$22</f>
        <v>3.1324250074250075E-3</v>
      </c>
      <c r="W2" s="12" t="s">
        <v>29</v>
      </c>
      <c r="X2" s="8">
        <f>$B$3+$B$4</f>
        <v>2</v>
      </c>
      <c r="Y2" s="8">
        <f>$C$3+$C$4</f>
        <v>1</v>
      </c>
      <c r="Z2" s="8">
        <f>$D$14</f>
        <v>3</v>
      </c>
      <c r="AA2" s="8">
        <f>$E$3+$E$4</f>
        <v>32</v>
      </c>
      <c r="AB2" s="8">
        <f>$F$3+$F$4</f>
        <v>3</v>
      </c>
      <c r="AC2" s="8">
        <f>PRODUCT(X2:AB2)</f>
        <v>576</v>
      </c>
      <c r="AD2" s="14">
        <f t="shared" ref="AD2:AD28" si="4">AC2/$B$19</f>
        <v>6.9609444609444608E-6</v>
      </c>
      <c r="AE2">
        <f>AD2*$A$22</f>
        <v>1.392188892188892E-4</v>
      </c>
      <c r="AF2" s="7">
        <f>AE2*B25</f>
        <v>1.044141669141669E-2</v>
      </c>
      <c r="AG2" s="7">
        <f>AF2/$B$22</f>
        <v>1.0441416691416689E-3</v>
      </c>
      <c r="AI2" s="7"/>
    </row>
    <row r="3" spans="1:35">
      <c r="A3" t="s">
        <v>19</v>
      </c>
      <c r="B3">
        <v>0</v>
      </c>
      <c r="C3">
        <v>1</v>
      </c>
      <c r="D3">
        <v>3</v>
      </c>
      <c r="E3">
        <v>28</v>
      </c>
      <c r="F3">
        <v>0</v>
      </c>
      <c r="I3" t="s">
        <v>36</v>
      </c>
      <c r="J3">
        <f>J2</f>
        <v>2</v>
      </c>
      <c r="K3">
        <f t="shared" ref="K3:M3" si="5">K2</f>
        <v>1</v>
      </c>
      <c r="L3">
        <f t="shared" si="5"/>
        <v>9</v>
      </c>
      <c r="M3">
        <f t="shared" si="5"/>
        <v>32</v>
      </c>
      <c r="N3">
        <f>F18-N2</f>
        <v>45</v>
      </c>
      <c r="O3">
        <f>PRODUCT(J3:N3)</f>
        <v>25920</v>
      </c>
      <c r="P3" s="7">
        <f t="shared" si="1"/>
        <v>3.1324250074250072E-4</v>
      </c>
      <c r="Q3" s="7">
        <f t="shared" si="2"/>
        <v>6.2648500148500142E-3</v>
      </c>
      <c r="R3" s="7">
        <f>Q3*C25</f>
        <v>0.15662125037125035</v>
      </c>
      <c r="S3" s="7">
        <f t="shared" si="3"/>
        <v>1.5662125037125035E-2</v>
      </c>
      <c r="W3" t="s">
        <v>36</v>
      </c>
      <c r="X3">
        <f t="shared" ref="X3:X4" si="6">$B$3+$B$4</f>
        <v>2</v>
      </c>
      <c r="Y3">
        <f t="shared" ref="Y3:Y4" si="7">$C$3+$C$4</f>
        <v>1</v>
      </c>
      <c r="Z3">
        <f t="shared" ref="Z3:Z28" si="8">$D$14</f>
        <v>3</v>
      </c>
      <c r="AA3">
        <f t="shared" ref="AA3" si="9">$E$3+$E$4</f>
        <v>32</v>
      </c>
      <c r="AB3">
        <f>$F$18-$F$3-$F$4</f>
        <v>45</v>
      </c>
      <c r="AC3">
        <f t="shared" ref="AC3:AC28" si="10">PRODUCT(X3:AB3)</f>
        <v>8640</v>
      </c>
      <c r="AD3" s="15">
        <f t="shared" si="4"/>
        <v>1.0441416691416692E-4</v>
      </c>
      <c r="AE3">
        <f t="shared" ref="AE3:AE28" si="11">AD3*$A$22</f>
        <v>2.0882833382833382E-3</v>
      </c>
      <c r="AF3" s="7">
        <f>AE3*C25</f>
        <v>5.2207083457083456E-2</v>
      </c>
      <c r="AG3" s="7">
        <f t="shared" ref="AG3:AG28" si="12">AF3/$B$22</f>
        <v>5.2207083457083458E-3</v>
      </c>
      <c r="AI3" s="7"/>
    </row>
    <row r="4" spans="1:35">
      <c r="A4" s="17" t="s">
        <v>4</v>
      </c>
      <c r="B4" s="17">
        <v>2</v>
      </c>
      <c r="C4" s="17">
        <v>0</v>
      </c>
      <c r="D4" s="17">
        <v>6</v>
      </c>
      <c r="E4" s="17">
        <v>4</v>
      </c>
      <c r="F4" s="17">
        <v>3</v>
      </c>
      <c r="I4" t="s">
        <v>37</v>
      </c>
      <c r="J4">
        <f>J2</f>
        <v>2</v>
      </c>
      <c r="K4">
        <f t="shared" ref="K4:L4" si="13">K2</f>
        <v>1</v>
      </c>
      <c r="L4">
        <f t="shared" si="13"/>
        <v>9</v>
      </c>
      <c r="M4">
        <f>E18-M2</f>
        <v>20</v>
      </c>
      <c r="N4">
        <v>48</v>
      </c>
      <c r="O4">
        <f>PRODUCT(J4:N4)</f>
        <v>17280</v>
      </c>
      <c r="P4" s="7">
        <f t="shared" si="1"/>
        <v>2.0882833382833383E-4</v>
      </c>
      <c r="Q4" s="7">
        <f t="shared" si="2"/>
        <v>4.1765666765666764E-3</v>
      </c>
      <c r="R4" s="7">
        <f>Q4*D25</f>
        <v>8.3531333531333529E-3</v>
      </c>
      <c r="S4" s="7">
        <f t="shared" si="3"/>
        <v>8.3531333531333533E-4</v>
      </c>
      <c r="W4" t="s">
        <v>37</v>
      </c>
      <c r="X4">
        <f t="shared" si="6"/>
        <v>2</v>
      </c>
      <c r="Y4">
        <f t="shared" si="7"/>
        <v>1</v>
      </c>
      <c r="Z4">
        <f t="shared" si="8"/>
        <v>3</v>
      </c>
      <c r="AA4">
        <f>$E$18-$E$3-$E$4</f>
        <v>20</v>
      </c>
      <c r="AB4">
        <f>$F$18</f>
        <v>48</v>
      </c>
      <c r="AC4">
        <f t="shared" si="10"/>
        <v>5760</v>
      </c>
      <c r="AD4" s="15">
        <f t="shared" si="4"/>
        <v>6.9609444609444615E-5</v>
      </c>
      <c r="AE4">
        <f t="shared" si="11"/>
        <v>1.3921888921888924E-3</v>
      </c>
      <c r="AF4" s="7">
        <f>AE4*D25</f>
        <v>2.7843777843777847E-3</v>
      </c>
      <c r="AG4" s="7">
        <f t="shared" si="12"/>
        <v>2.7843777843777846E-4</v>
      </c>
      <c r="AI4" s="7"/>
    </row>
    <row r="5" spans="1:35">
      <c r="A5" t="s">
        <v>5</v>
      </c>
      <c r="B5">
        <v>3</v>
      </c>
      <c r="C5">
        <v>0</v>
      </c>
      <c r="D5">
        <v>4</v>
      </c>
      <c r="E5">
        <v>4</v>
      </c>
      <c r="F5">
        <v>4</v>
      </c>
      <c r="I5" s="12" t="s">
        <v>38</v>
      </c>
      <c r="J5" s="8">
        <f>B3+B5</f>
        <v>3</v>
      </c>
      <c r="K5" s="8">
        <f t="shared" ref="K5:N5" si="14">C3+C5</f>
        <v>1</v>
      </c>
      <c r="L5" s="8">
        <f t="shared" si="14"/>
        <v>7</v>
      </c>
      <c r="M5" s="8">
        <f t="shared" si="14"/>
        <v>32</v>
      </c>
      <c r="N5" s="8">
        <f t="shared" si="14"/>
        <v>4</v>
      </c>
      <c r="O5" s="8">
        <f t="shared" ref="O5:O28" si="15">PRODUCT(J5:N5)</f>
        <v>2688</v>
      </c>
      <c r="P5" s="9">
        <f t="shared" si="1"/>
        <v>3.2484407484407486E-5</v>
      </c>
      <c r="Q5" s="9">
        <f t="shared" si="2"/>
        <v>6.4968814968814972E-4</v>
      </c>
      <c r="R5" s="9">
        <f>Q5*B26</f>
        <v>3.2484407484407486E-2</v>
      </c>
      <c r="S5" s="9">
        <f t="shared" si="3"/>
        <v>3.2484407484407486E-3</v>
      </c>
      <c r="W5" s="12" t="s">
        <v>38</v>
      </c>
      <c r="X5" s="8">
        <f>$B$3+$B$5</f>
        <v>3</v>
      </c>
      <c r="Y5" s="8">
        <f>$C$3+$C$5</f>
        <v>1</v>
      </c>
      <c r="Z5" s="8">
        <f t="shared" si="8"/>
        <v>3</v>
      </c>
      <c r="AA5" s="8">
        <f>$E$3+$E$5</f>
        <v>32</v>
      </c>
      <c r="AB5" s="8">
        <f>$F$3+$F$5</f>
        <v>4</v>
      </c>
      <c r="AC5" s="8">
        <f t="shared" si="10"/>
        <v>1152</v>
      </c>
      <c r="AD5" s="14">
        <f t="shared" si="4"/>
        <v>1.3921888921888922E-5</v>
      </c>
      <c r="AE5">
        <f t="shared" si="11"/>
        <v>2.7843777843777841E-4</v>
      </c>
      <c r="AF5" s="7">
        <f>AE5*$B$26</f>
        <v>1.392188892188892E-2</v>
      </c>
      <c r="AG5" s="7">
        <f t="shared" si="12"/>
        <v>1.3921888921888919E-3</v>
      </c>
      <c r="AI5" s="7"/>
    </row>
    <row r="6" spans="1:35">
      <c r="A6" s="17" t="s">
        <v>6</v>
      </c>
      <c r="B6" s="17">
        <v>3</v>
      </c>
      <c r="C6" s="17">
        <v>0</v>
      </c>
      <c r="D6" s="17">
        <v>0</v>
      </c>
      <c r="E6" s="17">
        <v>0</v>
      </c>
      <c r="F6" s="17">
        <v>6</v>
      </c>
      <c r="I6" t="s">
        <v>39</v>
      </c>
      <c r="J6">
        <f>J5</f>
        <v>3</v>
      </c>
      <c r="K6">
        <f t="shared" ref="K6:M6" si="16">K5</f>
        <v>1</v>
      </c>
      <c r="L6">
        <f t="shared" si="16"/>
        <v>7</v>
      </c>
      <c r="M6">
        <f t="shared" si="16"/>
        <v>32</v>
      </c>
      <c r="N6">
        <f>F18-N5</f>
        <v>44</v>
      </c>
      <c r="O6">
        <f t="shared" si="15"/>
        <v>29568</v>
      </c>
      <c r="P6" s="7">
        <f t="shared" si="1"/>
        <v>3.5732848232848235E-4</v>
      </c>
      <c r="Q6" s="7">
        <f t="shared" si="2"/>
        <v>7.146569646569647E-3</v>
      </c>
      <c r="R6" s="7">
        <f>Q6*C26</f>
        <v>8.5758835758835764E-2</v>
      </c>
      <c r="S6" s="7">
        <f t="shared" si="3"/>
        <v>8.5758835758835764E-3</v>
      </c>
      <c r="W6" t="s">
        <v>39</v>
      </c>
      <c r="X6">
        <f t="shared" ref="X6:X7" si="17">$B$3+$B$5</f>
        <v>3</v>
      </c>
      <c r="Y6">
        <f t="shared" ref="Y6:Y7" si="18">$C$3+$C$5</f>
        <v>1</v>
      </c>
      <c r="Z6">
        <f t="shared" si="8"/>
        <v>3</v>
      </c>
      <c r="AA6">
        <f>$E$3+$E$5</f>
        <v>32</v>
      </c>
      <c r="AB6">
        <f>$F$18-$F$3-$F$5</f>
        <v>44</v>
      </c>
      <c r="AC6">
        <f t="shared" si="10"/>
        <v>12672</v>
      </c>
      <c r="AD6" s="15">
        <f t="shared" si="4"/>
        <v>1.5314077814077815E-4</v>
      </c>
      <c r="AE6">
        <f t="shared" si="11"/>
        <v>3.0628155628155628E-3</v>
      </c>
      <c r="AF6" s="7">
        <f>AE6*$C$26</f>
        <v>3.6753786753786752E-2</v>
      </c>
      <c r="AG6" s="7">
        <f t="shared" si="12"/>
        <v>3.6753786753786753E-3</v>
      </c>
      <c r="AI6" s="7"/>
    </row>
    <row r="7" spans="1:35">
      <c r="A7" t="s">
        <v>7</v>
      </c>
      <c r="B7">
        <v>2</v>
      </c>
      <c r="C7">
        <v>8</v>
      </c>
      <c r="D7">
        <v>2</v>
      </c>
      <c r="E7">
        <v>0</v>
      </c>
      <c r="F7">
        <v>6</v>
      </c>
      <c r="I7" t="s">
        <v>40</v>
      </c>
      <c r="J7">
        <f>J5</f>
        <v>3</v>
      </c>
      <c r="K7">
        <f t="shared" ref="K7:L7" si="19">K5</f>
        <v>1</v>
      </c>
      <c r="L7">
        <f t="shared" si="19"/>
        <v>7</v>
      </c>
      <c r="M7">
        <f>$E$18-$E$3-$E$5</f>
        <v>20</v>
      </c>
      <c r="N7">
        <f>F18</f>
        <v>48</v>
      </c>
      <c r="O7">
        <f t="shared" si="15"/>
        <v>20160</v>
      </c>
      <c r="P7" s="7">
        <f t="shared" si="1"/>
        <v>2.4363305613305615E-4</v>
      </c>
      <c r="Q7" s="7">
        <f t="shared" si="2"/>
        <v>4.8726611226611229E-3</v>
      </c>
      <c r="R7" s="7">
        <f>Q7*D26</f>
        <v>9.7453222453222459E-3</v>
      </c>
      <c r="S7" s="7">
        <f t="shared" si="3"/>
        <v>9.7453222453222459E-4</v>
      </c>
      <c r="W7" t="s">
        <v>40</v>
      </c>
      <c r="X7">
        <f t="shared" si="17"/>
        <v>3</v>
      </c>
      <c r="Y7">
        <f t="shared" si="18"/>
        <v>1</v>
      </c>
      <c r="Z7">
        <f t="shared" si="8"/>
        <v>3</v>
      </c>
      <c r="AA7">
        <f>$E$18-$E$3-$E$5</f>
        <v>20</v>
      </c>
      <c r="AB7">
        <f>$F$18</f>
        <v>48</v>
      </c>
      <c r="AC7">
        <f t="shared" si="10"/>
        <v>8640</v>
      </c>
      <c r="AD7" s="15">
        <f t="shared" si="4"/>
        <v>1.0441416691416692E-4</v>
      </c>
      <c r="AE7">
        <f t="shared" si="11"/>
        <v>2.0882833382833382E-3</v>
      </c>
      <c r="AF7" s="7">
        <f>AE7*$D$26</f>
        <v>4.1765666765666764E-3</v>
      </c>
      <c r="AG7" s="7">
        <f t="shared" si="12"/>
        <v>4.1765666765666766E-4</v>
      </c>
      <c r="AI7" s="7"/>
    </row>
    <row r="8" spans="1:35">
      <c r="A8" s="17" t="s">
        <v>8</v>
      </c>
      <c r="B8" s="17">
        <v>4</v>
      </c>
      <c r="C8" s="17">
        <v>8</v>
      </c>
      <c r="D8" s="17">
        <v>4</v>
      </c>
      <c r="E8" s="17">
        <v>6</v>
      </c>
      <c r="F8" s="17">
        <v>5</v>
      </c>
      <c r="I8" s="8" t="s">
        <v>41</v>
      </c>
      <c r="J8" s="8">
        <f>B3+B6</f>
        <v>3</v>
      </c>
      <c r="K8" s="8">
        <f t="shared" ref="K8:N8" si="20">C3+C6</f>
        <v>1</v>
      </c>
      <c r="L8" s="8">
        <f t="shared" si="20"/>
        <v>3</v>
      </c>
      <c r="M8" s="8">
        <f t="shared" si="20"/>
        <v>28</v>
      </c>
      <c r="N8" s="8">
        <f t="shared" si="20"/>
        <v>6</v>
      </c>
      <c r="O8" s="8">
        <f t="shared" si="15"/>
        <v>1512</v>
      </c>
      <c r="P8" s="9">
        <f t="shared" si="1"/>
        <v>1.8272479209979211E-5</v>
      </c>
      <c r="Q8" s="9">
        <f t="shared" si="2"/>
        <v>3.6544958419958422E-4</v>
      </c>
      <c r="R8" s="9">
        <f>Q8*B27</f>
        <v>1.8272479209979212E-2</v>
      </c>
      <c r="S8" s="9">
        <f t="shared" si="3"/>
        <v>1.8272479209979213E-3</v>
      </c>
      <c r="W8" s="8" t="s">
        <v>41</v>
      </c>
      <c r="X8" s="8">
        <f>$B$3+$B$6</f>
        <v>3</v>
      </c>
      <c r="Y8" s="8">
        <f>$C$3+$C$6</f>
        <v>1</v>
      </c>
      <c r="Z8" s="8">
        <f t="shared" si="8"/>
        <v>3</v>
      </c>
      <c r="AA8" s="8">
        <f>$E$3+$E$6</f>
        <v>28</v>
      </c>
      <c r="AB8" s="8">
        <f>$F$3+$F$6</f>
        <v>6</v>
      </c>
      <c r="AC8" s="8">
        <f t="shared" si="10"/>
        <v>1512</v>
      </c>
      <c r="AD8" s="14">
        <f t="shared" si="4"/>
        <v>1.8272479209979211E-5</v>
      </c>
      <c r="AE8">
        <f t="shared" si="11"/>
        <v>3.6544958419958422E-4</v>
      </c>
      <c r="AF8" s="7">
        <f>AE8*$B$27</f>
        <v>1.8272479209979212E-2</v>
      </c>
      <c r="AG8" s="7">
        <f t="shared" si="12"/>
        <v>1.8272479209979213E-3</v>
      </c>
      <c r="AI8" s="7"/>
    </row>
    <row r="9" spans="1:35">
      <c r="A9" t="s">
        <v>9</v>
      </c>
      <c r="B9">
        <v>7</v>
      </c>
      <c r="C9">
        <v>2</v>
      </c>
      <c r="D9">
        <v>2</v>
      </c>
      <c r="E9">
        <v>0</v>
      </c>
      <c r="F9">
        <v>6</v>
      </c>
      <c r="I9" t="s">
        <v>42</v>
      </c>
      <c r="J9">
        <f>J8</f>
        <v>3</v>
      </c>
      <c r="K9">
        <f t="shared" ref="K9:M10" si="21">K8</f>
        <v>1</v>
      </c>
      <c r="L9">
        <f t="shared" si="21"/>
        <v>3</v>
      </c>
      <c r="M9">
        <f t="shared" si="21"/>
        <v>28</v>
      </c>
      <c r="N9">
        <f>F18-N8</f>
        <v>42</v>
      </c>
      <c r="O9">
        <f t="shared" si="15"/>
        <v>10584</v>
      </c>
      <c r="P9" s="7">
        <f t="shared" si="1"/>
        <v>1.2790735446985448E-4</v>
      </c>
      <c r="Q9" s="7">
        <f t="shared" si="2"/>
        <v>2.5581470893970898E-3</v>
      </c>
      <c r="R9" s="7">
        <f>Q9*C27</f>
        <v>3.0697765072765077E-2</v>
      </c>
      <c r="S9" s="7">
        <f t="shared" si="3"/>
        <v>3.0697765072765079E-3</v>
      </c>
      <c r="W9" t="s">
        <v>42</v>
      </c>
      <c r="X9">
        <f t="shared" ref="X9:X10" si="22">$B$3+$B$6</f>
        <v>3</v>
      </c>
      <c r="Y9">
        <f t="shared" ref="Y9:Y10" si="23">$C$3+$C$6</f>
        <v>1</v>
      </c>
      <c r="Z9">
        <f t="shared" si="8"/>
        <v>3</v>
      </c>
      <c r="AA9">
        <f>$E$3+$E$6</f>
        <v>28</v>
      </c>
      <c r="AB9">
        <f>$F$18-$F$3-$F$6</f>
        <v>42</v>
      </c>
      <c r="AC9">
        <f t="shared" si="10"/>
        <v>10584</v>
      </c>
      <c r="AD9" s="15">
        <f t="shared" si="4"/>
        <v>1.2790735446985448E-4</v>
      </c>
      <c r="AE9">
        <f t="shared" si="11"/>
        <v>2.5581470893970898E-3</v>
      </c>
      <c r="AF9" s="7">
        <f>AE9*$C$27</f>
        <v>3.0697765072765077E-2</v>
      </c>
      <c r="AG9" s="7">
        <f t="shared" si="12"/>
        <v>3.0697765072765079E-3</v>
      </c>
      <c r="AI9" s="7"/>
    </row>
    <row r="10" spans="1:35">
      <c r="A10" s="17" t="s">
        <v>10</v>
      </c>
      <c r="B10" s="17">
        <v>7</v>
      </c>
      <c r="C10" s="17">
        <v>2</v>
      </c>
      <c r="D10" s="17">
        <v>2</v>
      </c>
      <c r="E10" s="17">
        <v>2</v>
      </c>
      <c r="F10" s="17">
        <v>6</v>
      </c>
      <c r="I10" t="s">
        <v>43</v>
      </c>
      <c r="J10">
        <f>J9</f>
        <v>3</v>
      </c>
      <c r="K10">
        <f t="shared" si="21"/>
        <v>1</v>
      </c>
      <c r="L10">
        <f t="shared" si="21"/>
        <v>3</v>
      </c>
      <c r="M10">
        <f>E18-M9</f>
        <v>24</v>
      </c>
      <c r="N10">
        <f>F18</f>
        <v>48</v>
      </c>
      <c r="O10">
        <f t="shared" si="15"/>
        <v>10368</v>
      </c>
      <c r="P10" s="7">
        <f t="shared" si="1"/>
        <v>1.2529700029700029E-4</v>
      </c>
      <c r="Q10" s="7">
        <f t="shared" si="2"/>
        <v>2.5059400059400058E-3</v>
      </c>
      <c r="R10" s="7">
        <f>Q10*D27</f>
        <v>5.0118800118800115E-3</v>
      </c>
      <c r="S10" s="7">
        <f t="shared" si="3"/>
        <v>5.0118800118800115E-4</v>
      </c>
      <c r="W10" t="s">
        <v>43</v>
      </c>
      <c r="X10">
        <f t="shared" si="22"/>
        <v>3</v>
      </c>
      <c r="Y10">
        <f t="shared" si="23"/>
        <v>1</v>
      </c>
      <c r="Z10">
        <f t="shared" si="8"/>
        <v>3</v>
      </c>
      <c r="AA10">
        <f>$E$18-$E$3-$E$6</f>
        <v>24</v>
      </c>
      <c r="AB10">
        <f>$F$18</f>
        <v>48</v>
      </c>
      <c r="AC10">
        <f t="shared" si="10"/>
        <v>10368</v>
      </c>
      <c r="AD10" s="15">
        <f t="shared" si="4"/>
        <v>1.2529700029700029E-4</v>
      </c>
      <c r="AE10">
        <f t="shared" si="11"/>
        <v>2.5059400059400058E-3</v>
      </c>
      <c r="AF10" s="7">
        <f>AE10*D27</f>
        <v>5.0118800118800115E-3</v>
      </c>
      <c r="AG10" s="7">
        <f t="shared" si="12"/>
        <v>5.0118800118800115E-4</v>
      </c>
      <c r="AI10" s="7"/>
    </row>
    <row r="11" spans="1:35">
      <c r="A11" t="s">
        <v>11</v>
      </c>
      <c r="B11">
        <v>2</v>
      </c>
      <c r="C11">
        <v>6</v>
      </c>
      <c r="D11">
        <v>0</v>
      </c>
      <c r="E11">
        <v>0</v>
      </c>
      <c r="F11">
        <v>6</v>
      </c>
      <c r="I11" s="8" t="s">
        <v>44</v>
      </c>
      <c r="J11" s="8">
        <f>B3+B7</f>
        <v>2</v>
      </c>
      <c r="K11" s="8">
        <f t="shared" ref="K11:N11" si="24">C3+C7</f>
        <v>9</v>
      </c>
      <c r="L11" s="8">
        <f t="shared" si="24"/>
        <v>5</v>
      </c>
      <c r="M11" s="8">
        <f t="shared" si="24"/>
        <v>28</v>
      </c>
      <c r="N11" s="8">
        <f t="shared" si="24"/>
        <v>6</v>
      </c>
      <c r="O11" s="8">
        <f t="shared" si="15"/>
        <v>15120</v>
      </c>
      <c r="P11" s="9">
        <f t="shared" si="1"/>
        <v>1.8272479209979211E-4</v>
      </c>
      <c r="Q11" s="9">
        <f t="shared" si="2"/>
        <v>3.6544958419958422E-3</v>
      </c>
      <c r="R11" s="9">
        <f>Q11*B28</f>
        <v>0.18272479209979212</v>
      </c>
      <c r="S11" s="9">
        <f t="shared" si="3"/>
        <v>1.8272479209979212E-2</v>
      </c>
      <c r="W11" s="8" t="s">
        <v>44</v>
      </c>
      <c r="X11" s="8">
        <f>$B$3+$B$7</f>
        <v>2</v>
      </c>
      <c r="Y11" s="8">
        <f>$C$3+$C$7</f>
        <v>9</v>
      </c>
      <c r="Z11" s="8">
        <f t="shared" si="8"/>
        <v>3</v>
      </c>
      <c r="AA11" s="8">
        <f>$E$3+$E$7</f>
        <v>28</v>
      </c>
      <c r="AB11" s="8">
        <f>$F$3+$F$7</f>
        <v>6</v>
      </c>
      <c r="AC11" s="8">
        <f t="shared" si="10"/>
        <v>9072</v>
      </c>
      <c r="AD11" s="14">
        <f t="shared" si="4"/>
        <v>1.0963487525987527E-4</v>
      </c>
      <c r="AE11">
        <f t="shared" si="11"/>
        <v>2.1926975051975053E-3</v>
      </c>
      <c r="AF11" s="7">
        <f>AE11*B28</f>
        <v>0.10963487525987527</v>
      </c>
      <c r="AG11" s="7">
        <f t="shared" si="12"/>
        <v>1.0963487525987527E-2</v>
      </c>
      <c r="AI11" s="7"/>
    </row>
    <row r="12" spans="1:35">
      <c r="A12" s="17" t="s">
        <v>12</v>
      </c>
      <c r="B12" s="17">
        <v>2</v>
      </c>
      <c r="C12" s="17">
        <v>6</v>
      </c>
      <c r="D12" s="17">
        <v>0</v>
      </c>
      <c r="E12" s="17">
        <v>4</v>
      </c>
      <c r="F12" s="17">
        <v>6</v>
      </c>
      <c r="I12" t="s">
        <v>45</v>
      </c>
      <c r="J12">
        <f>J11</f>
        <v>2</v>
      </c>
      <c r="K12">
        <f t="shared" ref="K12:M13" si="25">K11</f>
        <v>9</v>
      </c>
      <c r="L12">
        <f t="shared" si="25"/>
        <v>5</v>
      </c>
      <c r="M12">
        <f t="shared" si="25"/>
        <v>28</v>
      </c>
      <c r="N12">
        <f>F18-N11</f>
        <v>42</v>
      </c>
      <c r="O12">
        <f t="shared" si="15"/>
        <v>105840</v>
      </c>
      <c r="P12" s="7">
        <f t="shared" si="1"/>
        <v>1.2790735446985447E-3</v>
      </c>
      <c r="Q12" s="7">
        <f t="shared" si="2"/>
        <v>2.5581470893970892E-2</v>
      </c>
      <c r="R12" s="7">
        <f>Q12*C28</f>
        <v>0.30697765072765071</v>
      </c>
      <c r="S12" s="7">
        <f t="shared" si="3"/>
        <v>3.069776507276507E-2</v>
      </c>
      <c r="W12" t="s">
        <v>45</v>
      </c>
      <c r="X12">
        <f t="shared" ref="X12:X13" si="26">$B$3+$B$7</f>
        <v>2</v>
      </c>
      <c r="Y12">
        <f t="shared" ref="Y12:Y13" si="27">$C$3+$C$7</f>
        <v>9</v>
      </c>
      <c r="Z12">
        <f t="shared" si="8"/>
        <v>3</v>
      </c>
      <c r="AA12">
        <f t="shared" ref="AA12" si="28">AA11</f>
        <v>28</v>
      </c>
      <c r="AB12">
        <f>$F$18-$F$3-$F$7</f>
        <v>42</v>
      </c>
      <c r="AC12">
        <f t="shared" si="10"/>
        <v>63504</v>
      </c>
      <c r="AD12" s="15">
        <f t="shared" si="4"/>
        <v>7.6744412681912686E-4</v>
      </c>
      <c r="AE12">
        <f t="shared" si="11"/>
        <v>1.5348882536382537E-2</v>
      </c>
      <c r="AF12" s="7">
        <f>AE12*$C$28</f>
        <v>0.18418659043659044</v>
      </c>
      <c r="AG12" s="7">
        <f t="shared" si="12"/>
        <v>1.8418659043659046E-2</v>
      </c>
      <c r="AI12" s="7"/>
    </row>
    <row r="13" spans="1:35">
      <c r="A13" t="s">
        <v>20</v>
      </c>
      <c r="B13">
        <v>0</v>
      </c>
      <c r="C13">
        <v>4</v>
      </c>
      <c r="D13">
        <v>2</v>
      </c>
      <c r="E13">
        <v>4</v>
      </c>
      <c r="F13">
        <v>0</v>
      </c>
      <c r="I13" t="s">
        <v>46</v>
      </c>
      <c r="J13">
        <f>J12</f>
        <v>2</v>
      </c>
      <c r="K13">
        <f t="shared" si="25"/>
        <v>9</v>
      </c>
      <c r="L13">
        <f t="shared" si="25"/>
        <v>5</v>
      </c>
      <c r="M13">
        <f>E18-M11</f>
        <v>24</v>
      </c>
      <c r="N13">
        <f>F18</f>
        <v>48</v>
      </c>
      <c r="O13">
        <f t="shared" si="15"/>
        <v>103680</v>
      </c>
      <c r="P13" s="7">
        <f t="shared" si="1"/>
        <v>1.2529700029700029E-3</v>
      </c>
      <c r="Q13" s="7">
        <f t="shared" si="2"/>
        <v>2.5059400059400057E-2</v>
      </c>
      <c r="R13" s="7">
        <f>Q13*D28</f>
        <v>5.0118800118800114E-2</v>
      </c>
      <c r="S13" s="7">
        <f t="shared" si="3"/>
        <v>5.0118800118800115E-3</v>
      </c>
      <c r="W13" t="s">
        <v>46</v>
      </c>
      <c r="X13">
        <f t="shared" si="26"/>
        <v>2</v>
      </c>
      <c r="Y13">
        <f t="shared" si="27"/>
        <v>9</v>
      </c>
      <c r="Z13">
        <f t="shared" si="8"/>
        <v>3</v>
      </c>
      <c r="AA13">
        <f>$E$18-$E$3-$E$7</f>
        <v>24</v>
      </c>
      <c r="AB13">
        <f>$F$18</f>
        <v>48</v>
      </c>
      <c r="AC13">
        <f t="shared" si="10"/>
        <v>62208</v>
      </c>
      <c r="AD13" s="15">
        <f t="shared" si="4"/>
        <v>7.5178200178200173E-4</v>
      </c>
      <c r="AE13">
        <f t="shared" si="11"/>
        <v>1.5035640035640035E-2</v>
      </c>
      <c r="AF13" s="7">
        <f>AE13*$D$28</f>
        <v>3.0071280071280071E-2</v>
      </c>
      <c r="AG13" s="7">
        <f t="shared" si="12"/>
        <v>3.0071280071280069E-3</v>
      </c>
      <c r="AI13" s="7"/>
    </row>
    <row r="14" spans="1:35">
      <c r="A14" s="17" t="s">
        <v>21</v>
      </c>
      <c r="B14" s="17">
        <v>0</v>
      </c>
      <c r="C14" s="17">
        <v>0</v>
      </c>
      <c r="D14" s="17">
        <v>3</v>
      </c>
      <c r="E14" s="17">
        <v>0</v>
      </c>
      <c r="F14" s="17">
        <v>0</v>
      </c>
      <c r="I14" s="8" t="s">
        <v>47</v>
      </c>
      <c r="J14" s="8">
        <f>B3+B8</f>
        <v>4</v>
      </c>
      <c r="K14" s="8">
        <f t="shared" ref="K14:N14" si="29">C3+C8</f>
        <v>9</v>
      </c>
      <c r="L14" s="8">
        <f t="shared" si="29"/>
        <v>7</v>
      </c>
      <c r="M14" s="8">
        <f t="shared" si="29"/>
        <v>34</v>
      </c>
      <c r="N14" s="8">
        <f t="shared" si="29"/>
        <v>5</v>
      </c>
      <c r="O14" s="8">
        <f t="shared" si="15"/>
        <v>42840</v>
      </c>
      <c r="P14" s="9">
        <f t="shared" si="1"/>
        <v>5.1772024428274426E-4</v>
      </c>
      <c r="Q14" s="9">
        <f t="shared" si="2"/>
        <v>1.0354404885654886E-2</v>
      </c>
      <c r="R14" s="9">
        <f>Q14*B29</f>
        <v>0.41417619542619544</v>
      </c>
      <c r="S14" s="9">
        <f t="shared" si="3"/>
        <v>4.1417619542619542E-2</v>
      </c>
      <c r="W14" s="8" t="s">
        <v>47</v>
      </c>
      <c r="X14" s="8">
        <f>$B$3+$B$8</f>
        <v>4</v>
      </c>
      <c r="Y14" s="8">
        <f>$C$3+$C$8</f>
        <v>9</v>
      </c>
      <c r="Z14" s="8">
        <f t="shared" si="8"/>
        <v>3</v>
      </c>
      <c r="AA14" s="8">
        <f>$E$3+$E$8</f>
        <v>34</v>
      </c>
      <c r="AB14" s="8">
        <f>$F$3+$F$8</f>
        <v>5</v>
      </c>
      <c r="AC14" s="8">
        <f t="shared" si="10"/>
        <v>18360</v>
      </c>
      <c r="AD14" s="14">
        <f t="shared" si="4"/>
        <v>2.2188010469260469E-4</v>
      </c>
      <c r="AE14">
        <f t="shared" si="11"/>
        <v>4.4376020938520942E-3</v>
      </c>
      <c r="AF14" s="7">
        <f>AE14*$B$29</f>
        <v>0.17750408375408377</v>
      </c>
      <c r="AG14" s="7">
        <f t="shared" si="12"/>
        <v>1.7750408375408377E-2</v>
      </c>
      <c r="AI14" s="7"/>
    </row>
    <row r="15" spans="1:35">
      <c r="A15" t="s">
        <v>68</v>
      </c>
      <c r="B15">
        <v>0</v>
      </c>
      <c r="C15">
        <v>0</v>
      </c>
      <c r="D15">
        <v>0</v>
      </c>
      <c r="E15">
        <v>0</v>
      </c>
      <c r="F15">
        <v>0</v>
      </c>
      <c r="I15" t="s">
        <v>48</v>
      </c>
      <c r="J15">
        <f>J14</f>
        <v>4</v>
      </c>
      <c r="K15">
        <f>K14</f>
        <v>9</v>
      </c>
      <c r="L15">
        <f>L14</f>
        <v>7</v>
      </c>
      <c r="M15">
        <f>M14</f>
        <v>34</v>
      </c>
      <c r="N15">
        <f>F18-N14</f>
        <v>43</v>
      </c>
      <c r="O15">
        <f t="shared" si="15"/>
        <v>368424</v>
      </c>
      <c r="P15" s="7">
        <f t="shared" si="1"/>
        <v>4.452394100831601E-3</v>
      </c>
      <c r="Q15" s="7">
        <f t="shared" si="2"/>
        <v>8.9047882016632024E-2</v>
      </c>
      <c r="R15" s="7">
        <f>Q15*C29</f>
        <v>0.62333517411642414</v>
      </c>
      <c r="S15" s="7">
        <f t="shared" si="3"/>
        <v>6.2333517411642413E-2</v>
      </c>
      <c r="W15" t="s">
        <v>48</v>
      </c>
      <c r="X15">
        <f t="shared" ref="X15:X16" si="30">$B$3+$B$8</f>
        <v>4</v>
      </c>
      <c r="Y15">
        <f t="shared" ref="Y15:Y16" si="31">$C$3+$C$8</f>
        <v>9</v>
      </c>
      <c r="Z15">
        <f t="shared" si="8"/>
        <v>3</v>
      </c>
      <c r="AA15">
        <f>$E$3+$E$8</f>
        <v>34</v>
      </c>
      <c r="AB15">
        <f>$F$18-$F$3-$F$8</f>
        <v>43</v>
      </c>
      <c r="AC15">
        <f t="shared" si="10"/>
        <v>157896</v>
      </c>
      <c r="AD15" s="15">
        <f t="shared" si="4"/>
        <v>1.9081689003564003E-3</v>
      </c>
      <c r="AE15">
        <f t="shared" si="11"/>
        <v>3.8163378007128004E-2</v>
      </c>
      <c r="AF15" s="7">
        <f>AE15*$C$29</f>
        <v>0.26714364604989604</v>
      </c>
      <c r="AG15" s="7">
        <f t="shared" si="12"/>
        <v>2.6714364604989604E-2</v>
      </c>
      <c r="AI15" s="7"/>
    </row>
    <row r="16" spans="1:35">
      <c r="A16" s="17" t="s">
        <v>69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I16" t="s">
        <v>49</v>
      </c>
      <c r="J16">
        <f>J14</f>
        <v>4</v>
      </c>
      <c r="K16">
        <f>K14</f>
        <v>9</v>
      </c>
      <c r="L16">
        <f>L14</f>
        <v>7</v>
      </c>
      <c r="M16">
        <f>E18-M14</f>
        <v>18</v>
      </c>
      <c r="N16">
        <f>F18</f>
        <v>48</v>
      </c>
      <c r="O16">
        <f t="shared" si="15"/>
        <v>217728</v>
      </c>
      <c r="P16" s="7">
        <f t="shared" si="1"/>
        <v>2.6312370062370064E-3</v>
      </c>
      <c r="Q16" s="7">
        <f t="shared" si="2"/>
        <v>5.2624740124740124E-2</v>
      </c>
      <c r="R16" s="7">
        <f>Q16*D29</f>
        <v>0.10524948024948025</v>
      </c>
      <c r="S16" s="7">
        <f t="shared" si="3"/>
        <v>1.0524948024948026E-2</v>
      </c>
      <c r="W16" t="s">
        <v>49</v>
      </c>
      <c r="X16">
        <f t="shared" si="30"/>
        <v>4</v>
      </c>
      <c r="Y16">
        <f t="shared" si="31"/>
        <v>9</v>
      </c>
      <c r="Z16">
        <f t="shared" si="8"/>
        <v>3</v>
      </c>
      <c r="AA16">
        <f>$E$18-$E$3-$E$8</f>
        <v>18</v>
      </c>
      <c r="AB16">
        <f>$F$18</f>
        <v>48</v>
      </c>
      <c r="AC16">
        <f t="shared" si="10"/>
        <v>93312</v>
      </c>
      <c r="AD16" s="15">
        <f t="shared" si="4"/>
        <v>1.1276730026730027E-3</v>
      </c>
      <c r="AE16">
        <f t="shared" si="11"/>
        <v>2.2553460053460053E-2</v>
      </c>
      <c r="AF16" s="7">
        <f>AE16*$D$29</f>
        <v>4.5106920106920106E-2</v>
      </c>
      <c r="AG16" s="7">
        <f t="shared" si="12"/>
        <v>4.5106920106920108E-3</v>
      </c>
      <c r="AI16" s="7"/>
    </row>
    <row r="17" spans="1:35">
      <c r="A17" t="s">
        <v>70</v>
      </c>
      <c r="B17">
        <v>0</v>
      </c>
      <c r="C17">
        <v>0</v>
      </c>
      <c r="D17">
        <v>0</v>
      </c>
      <c r="E17">
        <v>0</v>
      </c>
      <c r="F17">
        <v>0</v>
      </c>
      <c r="I17" s="8" t="s">
        <v>50</v>
      </c>
      <c r="J17" s="8">
        <f>B3+B9</f>
        <v>7</v>
      </c>
      <c r="K17" s="8">
        <f>C3+C9</f>
        <v>3</v>
      </c>
      <c r="L17" s="8">
        <f>D3+D9</f>
        <v>5</v>
      </c>
      <c r="M17" s="8">
        <f>E3+E9</f>
        <v>28</v>
      </c>
      <c r="N17" s="8">
        <f>F3+F9</f>
        <v>6</v>
      </c>
      <c r="O17" s="8">
        <f t="shared" si="15"/>
        <v>17640</v>
      </c>
      <c r="P17" s="9">
        <f t="shared" si="1"/>
        <v>2.1317892411642413E-4</v>
      </c>
      <c r="Q17" s="9">
        <f t="shared" si="2"/>
        <v>4.2635784823284823E-3</v>
      </c>
      <c r="R17" s="9">
        <f>Q17*B30</f>
        <v>0.10658946205821206</v>
      </c>
      <c r="S17" s="9">
        <f t="shared" si="3"/>
        <v>1.0658946205821206E-2</v>
      </c>
      <c r="W17" s="8" t="s">
        <v>50</v>
      </c>
      <c r="X17" s="8">
        <f>$B$3+$B$9</f>
        <v>7</v>
      </c>
      <c r="Y17" s="8">
        <f>$C$3+$C$9</f>
        <v>3</v>
      </c>
      <c r="Z17" s="8">
        <f t="shared" si="8"/>
        <v>3</v>
      </c>
      <c r="AA17" s="8">
        <f>$E$3+$E$9</f>
        <v>28</v>
      </c>
      <c r="AB17" s="8">
        <f>$F$3+$F$9</f>
        <v>6</v>
      </c>
      <c r="AC17" s="8">
        <f t="shared" si="10"/>
        <v>10584</v>
      </c>
      <c r="AD17" s="14">
        <f t="shared" si="4"/>
        <v>1.2790735446985448E-4</v>
      </c>
      <c r="AE17">
        <f t="shared" si="11"/>
        <v>2.5581470893970898E-3</v>
      </c>
      <c r="AF17" s="7">
        <f>AE17*B30</f>
        <v>6.3953677234927245E-2</v>
      </c>
      <c r="AG17" s="7">
        <f t="shared" si="12"/>
        <v>6.3953677234927248E-3</v>
      </c>
      <c r="AI17" s="7"/>
    </row>
    <row r="18" spans="1:35">
      <c r="A18" s="1" t="s">
        <v>22</v>
      </c>
      <c r="B18" s="5">
        <f>SUM(B3:B17)</f>
        <v>32</v>
      </c>
      <c r="C18" s="5">
        <f>SUM(C3:C17)</f>
        <v>37</v>
      </c>
      <c r="D18" s="5">
        <f>SUM(D3:D17)</f>
        <v>28</v>
      </c>
      <c r="E18" s="5">
        <f>SUM(E3:E17)</f>
        <v>52</v>
      </c>
      <c r="F18" s="5">
        <f>SUM(F3:F17)</f>
        <v>48</v>
      </c>
      <c r="I18" t="s">
        <v>51</v>
      </c>
      <c r="J18">
        <f>J17</f>
        <v>7</v>
      </c>
      <c r="K18">
        <f t="shared" ref="K18:M18" si="32">K17</f>
        <v>3</v>
      </c>
      <c r="L18">
        <f t="shared" si="32"/>
        <v>5</v>
      </c>
      <c r="M18">
        <f t="shared" si="32"/>
        <v>28</v>
      </c>
      <c r="N18">
        <f>F18-N17</f>
        <v>42</v>
      </c>
      <c r="O18">
        <f t="shared" si="15"/>
        <v>123480</v>
      </c>
      <c r="P18" s="7">
        <f t="shared" si="1"/>
        <v>1.4922524688149687E-3</v>
      </c>
      <c r="Q18" s="7">
        <f t="shared" si="2"/>
        <v>2.9845049376299376E-2</v>
      </c>
      <c r="R18" s="7">
        <f>Q18*C30</f>
        <v>0.14922524688149688</v>
      </c>
      <c r="S18" s="7">
        <f t="shared" si="3"/>
        <v>1.4922524688149688E-2</v>
      </c>
      <c r="W18" t="s">
        <v>51</v>
      </c>
      <c r="X18">
        <f t="shared" ref="X18:X19" si="33">$B$3+$B$9</f>
        <v>7</v>
      </c>
      <c r="Y18">
        <f t="shared" ref="Y18:Y19" si="34">$C$3+$C$9</f>
        <v>3</v>
      </c>
      <c r="Z18">
        <f t="shared" si="8"/>
        <v>3</v>
      </c>
      <c r="AA18">
        <f>$E$3+$E$9</f>
        <v>28</v>
      </c>
      <c r="AB18">
        <f>$F$18-$F$3-$F$9</f>
        <v>42</v>
      </c>
      <c r="AC18">
        <f t="shared" si="10"/>
        <v>74088</v>
      </c>
      <c r="AD18" s="15">
        <f t="shared" si="4"/>
        <v>8.9535148128898128E-4</v>
      </c>
      <c r="AE18">
        <f t="shared" si="11"/>
        <v>1.7907029625779627E-2</v>
      </c>
      <c r="AF18" s="7">
        <f>AE18*$C$30</f>
        <v>8.9535148128898137E-2</v>
      </c>
      <c r="AG18" s="7">
        <f t="shared" si="12"/>
        <v>8.9535148128898137E-3</v>
      </c>
      <c r="AI18" s="7"/>
    </row>
    <row r="19" spans="1:35">
      <c r="A19" s="4" t="s">
        <v>33</v>
      </c>
      <c r="B19" s="54">
        <f>PRODUCT(B18:F18)</f>
        <v>82747392</v>
      </c>
      <c r="C19" s="54"/>
      <c r="D19" s="54"/>
      <c r="E19" s="54"/>
      <c r="F19" s="54"/>
      <c r="I19" t="s">
        <v>52</v>
      </c>
      <c r="J19">
        <f>J17</f>
        <v>7</v>
      </c>
      <c r="K19">
        <f t="shared" ref="K19:L19" si="35">K17</f>
        <v>3</v>
      </c>
      <c r="L19">
        <f t="shared" si="35"/>
        <v>5</v>
      </c>
      <c r="M19">
        <f>E18-M17</f>
        <v>24</v>
      </c>
      <c r="N19">
        <f>F18</f>
        <v>48</v>
      </c>
      <c r="O19">
        <f t="shared" si="15"/>
        <v>120960</v>
      </c>
      <c r="P19" s="7">
        <f t="shared" si="1"/>
        <v>1.4617983367983369E-3</v>
      </c>
      <c r="Q19" s="7">
        <f t="shared" si="2"/>
        <v>2.9235966735966738E-2</v>
      </c>
      <c r="R19" s="7">
        <f>Q19*D30</f>
        <v>5.8471933471933475E-2</v>
      </c>
      <c r="S19" s="7">
        <f t="shared" si="3"/>
        <v>5.8471933471933475E-3</v>
      </c>
      <c r="W19" t="s">
        <v>52</v>
      </c>
      <c r="X19">
        <f t="shared" si="33"/>
        <v>7</v>
      </c>
      <c r="Y19">
        <f t="shared" si="34"/>
        <v>3</v>
      </c>
      <c r="Z19">
        <f t="shared" si="8"/>
        <v>3</v>
      </c>
      <c r="AA19">
        <f>$E$18-$E$3-$E$9</f>
        <v>24</v>
      </c>
      <c r="AB19">
        <f>$F$18</f>
        <v>48</v>
      </c>
      <c r="AC19">
        <f t="shared" si="10"/>
        <v>72576</v>
      </c>
      <c r="AD19" s="15">
        <f t="shared" si="4"/>
        <v>8.7707900207900213E-4</v>
      </c>
      <c r="AE19">
        <f t="shared" si="11"/>
        <v>1.7541580041580043E-2</v>
      </c>
      <c r="AF19" s="7">
        <f>AE19*$D$30</f>
        <v>3.5083160083160085E-2</v>
      </c>
      <c r="AG19" s="7">
        <f t="shared" si="12"/>
        <v>3.5083160083160085E-3</v>
      </c>
      <c r="AI19" s="7"/>
    </row>
    <row r="20" spans="1:35">
      <c r="A20" s="11"/>
      <c r="B20" s="6"/>
      <c r="I20" s="8" t="s">
        <v>53</v>
      </c>
      <c r="J20" s="8">
        <f>B3+B10</f>
        <v>7</v>
      </c>
      <c r="K20" s="8">
        <f>C3+C10</f>
        <v>3</v>
      </c>
      <c r="L20" s="8">
        <f>D3+D10</f>
        <v>5</v>
      </c>
      <c r="M20" s="8">
        <f>E3+E10</f>
        <v>30</v>
      </c>
      <c r="N20" s="8">
        <f>F3+F10</f>
        <v>6</v>
      </c>
      <c r="O20" s="8">
        <f t="shared" si="15"/>
        <v>18900</v>
      </c>
      <c r="P20" s="9">
        <f t="shared" si="1"/>
        <v>2.2840599012474014E-4</v>
      </c>
      <c r="Q20" s="9">
        <f t="shared" si="2"/>
        <v>4.5681198024948031E-3</v>
      </c>
      <c r="R20" s="9">
        <f>Q20*B31</f>
        <v>0.11420299506237008</v>
      </c>
      <c r="S20" s="9">
        <f t="shared" si="3"/>
        <v>1.1420299506237009E-2</v>
      </c>
      <c r="W20" s="8" t="s">
        <v>53</v>
      </c>
      <c r="X20" s="8">
        <f>$B$3+$B$10</f>
        <v>7</v>
      </c>
      <c r="Y20" s="8">
        <f>$C$3+$C$10</f>
        <v>3</v>
      </c>
      <c r="Z20" s="8">
        <f t="shared" si="8"/>
        <v>3</v>
      </c>
      <c r="AA20" s="8">
        <f>$E$3+$E$10</f>
        <v>30</v>
      </c>
      <c r="AB20" s="8">
        <f>$F$3+$F$10</f>
        <v>6</v>
      </c>
      <c r="AC20" s="8">
        <f t="shared" si="10"/>
        <v>11340</v>
      </c>
      <c r="AD20" s="14">
        <f t="shared" si="4"/>
        <v>1.3704359407484408E-4</v>
      </c>
      <c r="AE20">
        <f t="shared" si="11"/>
        <v>2.7408718814968818E-3</v>
      </c>
      <c r="AF20" s="7">
        <f>AE20*$B$31</f>
        <v>6.8521797037422047E-2</v>
      </c>
      <c r="AG20" s="7">
        <f t="shared" si="12"/>
        <v>6.852179703742205E-3</v>
      </c>
      <c r="AI20" s="7"/>
    </row>
    <row r="21" spans="1:35">
      <c r="A21" s="3" t="s">
        <v>30</v>
      </c>
      <c r="B21" s="3" t="s">
        <v>34</v>
      </c>
      <c r="I21" t="s">
        <v>54</v>
      </c>
      <c r="J21">
        <f>J20</f>
        <v>7</v>
      </c>
      <c r="K21">
        <f t="shared" ref="K21:M21" si="36">K20</f>
        <v>3</v>
      </c>
      <c r="L21">
        <f t="shared" si="36"/>
        <v>5</v>
      </c>
      <c r="M21">
        <f t="shared" si="36"/>
        <v>30</v>
      </c>
      <c r="N21">
        <f>F18-N20</f>
        <v>42</v>
      </c>
      <c r="O21">
        <f t="shared" si="15"/>
        <v>132300</v>
      </c>
      <c r="P21" s="7">
        <f t="shared" si="1"/>
        <v>1.5988419308731808E-3</v>
      </c>
      <c r="Q21" s="7">
        <f t="shared" si="2"/>
        <v>3.1976838617463615E-2</v>
      </c>
      <c r="R21" s="7">
        <f>Q21*C31</f>
        <v>0.15988419308731808</v>
      </c>
      <c r="S21" s="7">
        <f t="shared" si="3"/>
        <v>1.5988419308731808E-2</v>
      </c>
      <c r="W21" t="s">
        <v>54</v>
      </c>
      <c r="X21">
        <f t="shared" ref="X21:X22" si="37">$B$3+$B$10</f>
        <v>7</v>
      </c>
      <c r="Y21">
        <f t="shared" ref="Y21:Y22" si="38">$C$3+$C$10</f>
        <v>3</v>
      </c>
      <c r="Z21">
        <f t="shared" si="8"/>
        <v>3</v>
      </c>
      <c r="AA21">
        <f>$E$3+$E$10</f>
        <v>30</v>
      </c>
      <c r="AB21">
        <f>$F$18-$F$3-$F$10</f>
        <v>42</v>
      </c>
      <c r="AC21">
        <f t="shared" si="10"/>
        <v>79380</v>
      </c>
      <c r="AD21" s="15">
        <f t="shared" si="4"/>
        <v>9.5930515852390855E-4</v>
      </c>
      <c r="AE21">
        <f t="shared" si="11"/>
        <v>1.9186103170478169E-2</v>
      </c>
      <c r="AF21" s="7">
        <f>AE21*$C$31</f>
        <v>9.5930515852390846E-2</v>
      </c>
      <c r="AG21" s="7">
        <f t="shared" si="12"/>
        <v>9.5930515852390846E-3</v>
      </c>
      <c r="AI21" s="7"/>
    </row>
    <row r="22" spans="1:35">
      <c r="A22">
        <v>20</v>
      </c>
      <c r="B22">
        <v>10</v>
      </c>
      <c r="I22" t="s">
        <v>55</v>
      </c>
      <c r="J22">
        <f>J20</f>
        <v>7</v>
      </c>
      <c r="K22">
        <f t="shared" ref="K22:L22" si="39">K20</f>
        <v>3</v>
      </c>
      <c r="L22">
        <f t="shared" si="39"/>
        <v>5</v>
      </c>
      <c r="M22">
        <f>E18-M20</f>
        <v>22</v>
      </c>
      <c r="N22">
        <f>F18</f>
        <v>48</v>
      </c>
      <c r="O22">
        <f t="shared" si="15"/>
        <v>110880</v>
      </c>
      <c r="P22" s="7">
        <f t="shared" si="1"/>
        <v>1.3399818087318088E-3</v>
      </c>
      <c r="Q22" s="7">
        <f t="shared" si="2"/>
        <v>2.6799636174636175E-2</v>
      </c>
      <c r="R22" s="7">
        <f>Q22*D31</f>
        <v>5.3599272349272351E-2</v>
      </c>
      <c r="S22" s="7">
        <f t="shared" si="3"/>
        <v>5.3599272349272352E-3</v>
      </c>
      <c r="W22" t="s">
        <v>55</v>
      </c>
      <c r="X22">
        <f t="shared" si="37"/>
        <v>7</v>
      </c>
      <c r="Y22">
        <f t="shared" si="38"/>
        <v>3</v>
      </c>
      <c r="Z22">
        <f t="shared" si="8"/>
        <v>3</v>
      </c>
      <c r="AA22">
        <f>$E$18-$E$3-$E$10</f>
        <v>22</v>
      </c>
      <c r="AB22">
        <f>$F$18</f>
        <v>48</v>
      </c>
      <c r="AC22">
        <f t="shared" si="10"/>
        <v>66528</v>
      </c>
      <c r="AD22" s="15">
        <f t="shared" si="4"/>
        <v>8.0398908523908528E-4</v>
      </c>
      <c r="AE22">
        <f t="shared" si="11"/>
        <v>1.6079781704781707E-2</v>
      </c>
      <c r="AF22" s="7">
        <f>AE22*D31</f>
        <v>3.2159563409563413E-2</v>
      </c>
      <c r="AG22" s="7">
        <f t="shared" si="12"/>
        <v>3.2159563409563411E-3</v>
      </c>
      <c r="AI22" s="7"/>
    </row>
    <row r="23" spans="1:35">
      <c r="I23" s="8" t="s">
        <v>56</v>
      </c>
      <c r="J23" s="8">
        <f>B3+B11</f>
        <v>2</v>
      </c>
      <c r="K23" s="8">
        <f>C3+C11</f>
        <v>7</v>
      </c>
      <c r="L23" s="8">
        <f>D3+D11</f>
        <v>3</v>
      </c>
      <c r="M23" s="8">
        <f>E3+E11</f>
        <v>28</v>
      </c>
      <c r="N23" s="8">
        <f>F3+F11</f>
        <v>6</v>
      </c>
      <c r="O23" s="8">
        <f t="shared" si="15"/>
        <v>7056</v>
      </c>
      <c r="P23" s="9">
        <f t="shared" si="1"/>
        <v>8.5271569646569651E-5</v>
      </c>
      <c r="Q23" s="9">
        <f t="shared" si="2"/>
        <v>1.705431392931393E-3</v>
      </c>
      <c r="R23" s="9">
        <f>Q23*B32</f>
        <v>4.2635784823284825E-2</v>
      </c>
      <c r="S23" s="9">
        <f t="shared" si="3"/>
        <v>4.2635784823284823E-3</v>
      </c>
      <c r="W23" s="8" t="s">
        <v>56</v>
      </c>
      <c r="X23" s="8">
        <f>$B$3+$B$11</f>
        <v>2</v>
      </c>
      <c r="Y23" s="8">
        <f>$C$3+$C$11</f>
        <v>7</v>
      </c>
      <c r="Z23" s="8">
        <f t="shared" si="8"/>
        <v>3</v>
      </c>
      <c r="AA23" s="8">
        <f>$E$3+$E$11</f>
        <v>28</v>
      </c>
      <c r="AB23" s="8">
        <f>$F$3+$F$11</f>
        <v>6</v>
      </c>
      <c r="AC23" s="8">
        <f t="shared" si="10"/>
        <v>7056</v>
      </c>
      <c r="AD23" s="14">
        <f t="shared" si="4"/>
        <v>8.5271569646569651E-5</v>
      </c>
      <c r="AE23">
        <f t="shared" si="11"/>
        <v>1.705431392931393E-3</v>
      </c>
      <c r="AF23" s="7">
        <f>AE23*$B$32</f>
        <v>4.2635784823284825E-2</v>
      </c>
      <c r="AG23" s="7">
        <f t="shared" si="12"/>
        <v>4.2635784823284823E-3</v>
      </c>
      <c r="AI23" s="7"/>
    </row>
    <row r="24" spans="1:35">
      <c r="A24" s="1" t="s">
        <v>0</v>
      </c>
      <c r="B24" s="1" t="s">
        <v>1</v>
      </c>
      <c r="C24" s="1" t="s">
        <v>2</v>
      </c>
      <c r="D24" s="1" t="s">
        <v>3</v>
      </c>
      <c r="I24" t="s">
        <v>57</v>
      </c>
      <c r="J24">
        <f>J23</f>
        <v>2</v>
      </c>
      <c r="K24">
        <f t="shared" ref="K24:M24" si="40">K23</f>
        <v>7</v>
      </c>
      <c r="L24">
        <f t="shared" si="40"/>
        <v>3</v>
      </c>
      <c r="M24">
        <f t="shared" si="40"/>
        <v>28</v>
      </c>
      <c r="N24">
        <f>F18-N23</f>
        <v>42</v>
      </c>
      <c r="O24">
        <f t="shared" si="15"/>
        <v>49392</v>
      </c>
      <c r="P24" s="7">
        <f t="shared" si="1"/>
        <v>5.9690098752598756E-4</v>
      </c>
      <c r="Q24" s="7">
        <f t="shared" si="2"/>
        <v>1.1938019750519752E-2</v>
      </c>
      <c r="R24" s="7">
        <f>Q24*C32</f>
        <v>5.9690098752598758E-2</v>
      </c>
      <c r="S24" s="7">
        <f t="shared" si="3"/>
        <v>5.9690098752598758E-3</v>
      </c>
      <c r="W24" t="s">
        <v>57</v>
      </c>
      <c r="X24">
        <f t="shared" ref="X24:X25" si="41">$B$3+$B$11</f>
        <v>2</v>
      </c>
      <c r="Y24">
        <f t="shared" ref="Y24:Y25" si="42">$C$3+$C$11</f>
        <v>7</v>
      </c>
      <c r="Z24">
        <f t="shared" si="8"/>
        <v>3</v>
      </c>
      <c r="AA24">
        <f>$E$3+$E$11</f>
        <v>28</v>
      </c>
      <c r="AB24">
        <f>$F$18-$F$3-$F$11</f>
        <v>42</v>
      </c>
      <c r="AC24">
        <f t="shared" si="10"/>
        <v>49392</v>
      </c>
      <c r="AD24" s="15">
        <f t="shared" si="4"/>
        <v>5.9690098752598756E-4</v>
      </c>
      <c r="AE24">
        <f t="shared" si="11"/>
        <v>1.1938019750519752E-2</v>
      </c>
      <c r="AF24" s="7">
        <f>AE24*$C$32</f>
        <v>5.9690098752598758E-2</v>
      </c>
      <c r="AG24" s="7">
        <f t="shared" si="12"/>
        <v>5.9690098752598758E-3</v>
      </c>
      <c r="AI24" s="7"/>
    </row>
    <row r="25" spans="1:35">
      <c r="A25" t="s">
        <v>4</v>
      </c>
      <c r="B25" s="2">
        <v>75</v>
      </c>
      <c r="C25" s="2">
        <v>25</v>
      </c>
      <c r="D25" s="2">
        <v>2</v>
      </c>
      <c r="I25" t="s">
        <v>58</v>
      </c>
      <c r="J25">
        <f>J23</f>
        <v>2</v>
      </c>
      <c r="K25">
        <f t="shared" ref="K25:L25" si="43">K23</f>
        <v>7</v>
      </c>
      <c r="L25">
        <f t="shared" si="43"/>
        <v>3</v>
      </c>
      <c r="M25">
        <f>E18-M23</f>
        <v>24</v>
      </c>
      <c r="N25">
        <f>F18</f>
        <v>48</v>
      </c>
      <c r="O25">
        <f t="shared" si="15"/>
        <v>48384</v>
      </c>
      <c r="P25" s="7">
        <f t="shared" si="1"/>
        <v>5.8471933471933475E-4</v>
      </c>
      <c r="Q25" s="7">
        <f t="shared" si="2"/>
        <v>1.1694386694386695E-2</v>
      </c>
      <c r="R25" s="7">
        <f>Q25*D32</f>
        <v>2.338877338877339E-2</v>
      </c>
      <c r="S25" s="7">
        <f t="shared" si="3"/>
        <v>2.338877338877339E-3</v>
      </c>
      <c r="W25" t="s">
        <v>58</v>
      </c>
      <c r="X25">
        <f t="shared" si="41"/>
        <v>2</v>
      </c>
      <c r="Y25">
        <f t="shared" si="42"/>
        <v>7</v>
      </c>
      <c r="Z25">
        <f t="shared" si="8"/>
        <v>3</v>
      </c>
      <c r="AA25">
        <f>$E$18-$E$3-$E$11</f>
        <v>24</v>
      </c>
      <c r="AB25">
        <f>$F$18</f>
        <v>48</v>
      </c>
      <c r="AC25">
        <f t="shared" si="10"/>
        <v>48384</v>
      </c>
      <c r="AD25" s="15">
        <f t="shared" si="4"/>
        <v>5.8471933471933475E-4</v>
      </c>
      <c r="AE25">
        <f t="shared" si="11"/>
        <v>1.1694386694386695E-2</v>
      </c>
      <c r="AF25" s="7">
        <f>AE25*$D$32</f>
        <v>2.338877338877339E-2</v>
      </c>
      <c r="AG25" s="7">
        <f t="shared" si="12"/>
        <v>2.338877338877339E-3</v>
      </c>
      <c r="AI25" s="7"/>
    </row>
    <row r="26" spans="1:35">
      <c r="A26" t="s">
        <v>5</v>
      </c>
      <c r="B26" s="2">
        <v>50</v>
      </c>
      <c r="C26" s="2">
        <v>12</v>
      </c>
      <c r="D26" s="2">
        <v>2</v>
      </c>
      <c r="I26" s="8" t="s">
        <v>59</v>
      </c>
      <c r="J26" s="8">
        <f>B3+B12</f>
        <v>2</v>
      </c>
      <c r="K26" s="8">
        <f>C3+C12</f>
        <v>7</v>
      </c>
      <c r="L26" s="8">
        <f>D3+D12</f>
        <v>3</v>
      </c>
      <c r="M26" s="8">
        <f>E3+E12</f>
        <v>32</v>
      </c>
      <c r="N26" s="8">
        <f>F3+F12</f>
        <v>6</v>
      </c>
      <c r="O26" s="8">
        <f t="shared" si="15"/>
        <v>8064</v>
      </c>
      <c r="P26" s="9">
        <f t="shared" si="1"/>
        <v>9.7453222453222459E-5</v>
      </c>
      <c r="Q26" s="9">
        <f t="shared" si="2"/>
        <v>1.9490644490644492E-3</v>
      </c>
      <c r="R26" s="9">
        <f>Q26*B33</f>
        <v>4.8726611226611233E-2</v>
      </c>
      <c r="S26" s="9">
        <f t="shared" si="3"/>
        <v>4.8726611226611229E-3</v>
      </c>
      <c r="W26" s="8" t="s">
        <v>59</v>
      </c>
      <c r="X26" s="8">
        <f>$B$3+$B$12</f>
        <v>2</v>
      </c>
      <c r="Y26" s="8">
        <f>$C$3+$C$12</f>
        <v>7</v>
      </c>
      <c r="Z26" s="8">
        <f t="shared" si="8"/>
        <v>3</v>
      </c>
      <c r="AA26" s="8">
        <f>$E$3+$E$12</f>
        <v>32</v>
      </c>
      <c r="AB26" s="8">
        <f>$F$3+$F$12</f>
        <v>6</v>
      </c>
      <c r="AC26" s="8">
        <f t="shared" si="10"/>
        <v>8064</v>
      </c>
      <c r="AD26" s="14">
        <f t="shared" si="4"/>
        <v>9.7453222453222459E-5</v>
      </c>
      <c r="AE26">
        <f t="shared" si="11"/>
        <v>1.9490644490644492E-3</v>
      </c>
      <c r="AF26" s="7">
        <f>AE26*$B$33</f>
        <v>4.8726611226611233E-2</v>
      </c>
      <c r="AG26" s="7">
        <f t="shared" si="12"/>
        <v>4.8726611226611229E-3</v>
      </c>
      <c r="AI26" s="7"/>
    </row>
    <row r="27" spans="1:35">
      <c r="A27" t="s">
        <v>6</v>
      </c>
      <c r="B27" s="2">
        <v>50</v>
      </c>
      <c r="C27" s="2">
        <v>12</v>
      </c>
      <c r="D27" s="2">
        <v>2</v>
      </c>
      <c r="I27" t="s">
        <v>60</v>
      </c>
      <c r="J27">
        <f>J26</f>
        <v>2</v>
      </c>
      <c r="K27">
        <f t="shared" ref="K27:M27" si="44">K26</f>
        <v>7</v>
      </c>
      <c r="L27">
        <f t="shared" si="44"/>
        <v>3</v>
      </c>
      <c r="M27">
        <f t="shared" si="44"/>
        <v>32</v>
      </c>
      <c r="N27">
        <f>F18-N26</f>
        <v>42</v>
      </c>
      <c r="O27">
        <f t="shared" si="15"/>
        <v>56448</v>
      </c>
      <c r="P27" s="7">
        <f t="shared" si="1"/>
        <v>6.8217255717255721E-4</v>
      </c>
      <c r="Q27" s="7">
        <f t="shared" si="2"/>
        <v>1.3643451143451144E-2</v>
      </c>
      <c r="R27" s="7">
        <f>Q27*C33</f>
        <v>6.8217255717255718E-2</v>
      </c>
      <c r="S27" s="7">
        <f t="shared" si="3"/>
        <v>6.8217255717255721E-3</v>
      </c>
      <c r="W27" t="s">
        <v>60</v>
      </c>
      <c r="X27">
        <f t="shared" ref="X27:X28" si="45">$B$3+$B$12</f>
        <v>2</v>
      </c>
      <c r="Y27">
        <f t="shared" ref="Y27:Y28" si="46">$C$3+$C$12</f>
        <v>7</v>
      </c>
      <c r="Z27">
        <f t="shared" si="8"/>
        <v>3</v>
      </c>
      <c r="AA27">
        <f>$E$3+$E$12</f>
        <v>32</v>
      </c>
      <c r="AB27">
        <f>$F$18-$F$3-$F$12</f>
        <v>42</v>
      </c>
      <c r="AC27">
        <f t="shared" si="10"/>
        <v>56448</v>
      </c>
      <c r="AD27" s="15">
        <f t="shared" si="4"/>
        <v>6.8217255717255721E-4</v>
      </c>
      <c r="AE27">
        <f t="shared" si="11"/>
        <v>1.3643451143451144E-2</v>
      </c>
      <c r="AF27" s="7">
        <f>AE27*$C$33</f>
        <v>6.8217255717255718E-2</v>
      </c>
      <c r="AG27" s="7">
        <f t="shared" si="12"/>
        <v>6.8217255717255721E-3</v>
      </c>
      <c r="AI27" s="7"/>
    </row>
    <row r="28" spans="1:35">
      <c r="A28" t="s">
        <v>7</v>
      </c>
      <c r="B28" s="2">
        <v>50</v>
      </c>
      <c r="C28" s="2">
        <v>12</v>
      </c>
      <c r="D28" s="2">
        <v>2</v>
      </c>
      <c r="I28" t="s">
        <v>61</v>
      </c>
      <c r="J28">
        <f>J26</f>
        <v>2</v>
      </c>
      <c r="K28">
        <f t="shared" ref="K28:L28" si="47">K26</f>
        <v>7</v>
      </c>
      <c r="L28">
        <f t="shared" si="47"/>
        <v>3</v>
      </c>
      <c r="M28">
        <f>E18-M26</f>
        <v>20</v>
      </c>
      <c r="N28">
        <f>F18</f>
        <v>48</v>
      </c>
      <c r="O28">
        <f t="shared" si="15"/>
        <v>40320</v>
      </c>
      <c r="P28" s="7">
        <f t="shared" si="1"/>
        <v>4.8726611226611229E-4</v>
      </c>
      <c r="Q28" s="7">
        <f t="shared" si="2"/>
        <v>9.7453222453222459E-3</v>
      </c>
      <c r="R28" s="7">
        <f>Q28*D33</f>
        <v>1.9490644490644492E-2</v>
      </c>
      <c r="S28" s="7">
        <f t="shared" si="3"/>
        <v>1.9490644490644492E-3</v>
      </c>
      <c r="W28" t="s">
        <v>61</v>
      </c>
      <c r="X28">
        <f t="shared" si="45"/>
        <v>2</v>
      </c>
      <c r="Y28">
        <f t="shared" si="46"/>
        <v>7</v>
      </c>
      <c r="Z28">
        <f t="shared" si="8"/>
        <v>3</v>
      </c>
      <c r="AA28">
        <f>$E$18-E3-$E$12</f>
        <v>20</v>
      </c>
      <c r="AB28">
        <f>$F$18</f>
        <v>48</v>
      </c>
      <c r="AC28">
        <f t="shared" si="10"/>
        <v>40320</v>
      </c>
      <c r="AD28" s="15">
        <f t="shared" si="4"/>
        <v>4.8726611226611229E-4</v>
      </c>
      <c r="AE28">
        <f t="shared" si="11"/>
        <v>9.7453222453222459E-3</v>
      </c>
      <c r="AF28" s="7">
        <f>AE28*$D$33</f>
        <v>1.9490644490644492E-2</v>
      </c>
      <c r="AG28" s="7">
        <f t="shared" si="12"/>
        <v>1.9490644490644492E-3</v>
      </c>
      <c r="AI28" s="7"/>
    </row>
    <row r="29" spans="1:35">
      <c r="A29" t="s">
        <v>8</v>
      </c>
      <c r="B29" s="2">
        <v>40</v>
      </c>
      <c r="C29" s="2">
        <v>7</v>
      </c>
      <c r="D29" s="2">
        <v>2</v>
      </c>
      <c r="P29" s="7">
        <f>SUM(P2:P28)</f>
        <v>2.0632239382239383E-2</v>
      </c>
      <c r="Q29" s="7">
        <f t="shared" ref="Q29:S29" si="48">SUM(Q2:Q28)</f>
        <v>0.41264478764478768</v>
      </c>
      <c r="R29" s="7">
        <f t="shared" si="48"/>
        <v>2.9649736876299375</v>
      </c>
      <c r="S29" s="7">
        <f t="shared" si="48"/>
        <v>0.29649736876299376</v>
      </c>
      <c r="AD29" s="7">
        <f>SUM(AD2:AD28)</f>
        <v>1.1944980694980692E-2</v>
      </c>
      <c r="AE29" s="7">
        <f t="shared" ref="AE29:AG29" si="49">SUM(AE2:AE28)</f>
        <v>0.23889961389961389</v>
      </c>
      <c r="AF29" s="7">
        <f t="shared" si="49"/>
        <v>1.6352476704039207</v>
      </c>
      <c r="AG29" s="7">
        <f t="shared" si="49"/>
        <v>0.16352476704039204</v>
      </c>
      <c r="AH29" s="7"/>
      <c r="AI29" s="7"/>
    </row>
    <row r="30" spans="1:35">
      <c r="A30" t="s">
        <v>9</v>
      </c>
      <c r="B30" s="2">
        <v>25</v>
      </c>
      <c r="C30" s="2">
        <v>5</v>
      </c>
      <c r="D30" s="2">
        <v>2</v>
      </c>
      <c r="P30" s="7"/>
      <c r="Q30" s="7"/>
      <c r="R30" s="7"/>
      <c r="S30" s="7"/>
    </row>
    <row r="31" spans="1:35">
      <c r="A31" t="s">
        <v>10</v>
      </c>
      <c r="B31" s="2">
        <v>25</v>
      </c>
      <c r="C31" s="2">
        <v>5</v>
      </c>
      <c r="D31" s="2">
        <v>2</v>
      </c>
    </row>
    <row r="32" spans="1:35">
      <c r="A32" t="s">
        <v>11</v>
      </c>
      <c r="B32" s="2">
        <v>25</v>
      </c>
      <c r="C32" s="2">
        <v>5</v>
      </c>
      <c r="D32" s="2">
        <v>2</v>
      </c>
      <c r="I32" s="3" t="s">
        <v>84</v>
      </c>
      <c r="J32" s="3" t="s">
        <v>24</v>
      </c>
      <c r="K32" s="3" t="s">
        <v>25</v>
      </c>
      <c r="L32" s="3" t="s">
        <v>26</v>
      </c>
      <c r="M32" s="3" t="s">
        <v>27</v>
      </c>
      <c r="N32" s="3" t="s">
        <v>28</v>
      </c>
      <c r="O32" s="3" t="s">
        <v>31</v>
      </c>
      <c r="P32" s="3" t="s">
        <v>62</v>
      </c>
      <c r="Q32" s="3" t="s">
        <v>63</v>
      </c>
      <c r="R32" s="3" t="s">
        <v>32</v>
      </c>
      <c r="S32" s="3" t="s">
        <v>35</v>
      </c>
      <c r="W32" s="3" t="s">
        <v>87</v>
      </c>
      <c r="X32" s="3" t="s">
        <v>24</v>
      </c>
      <c r="Y32" s="3" t="s">
        <v>25</v>
      </c>
      <c r="Z32" s="3" t="s">
        <v>26</v>
      </c>
      <c r="AA32" s="3" t="s">
        <v>27</v>
      </c>
      <c r="AB32" s="3" t="s">
        <v>28</v>
      </c>
      <c r="AC32" s="3" t="s">
        <v>31</v>
      </c>
      <c r="AD32" s="3" t="s">
        <v>62</v>
      </c>
      <c r="AE32" s="3" t="s">
        <v>63</v>
      </c>
      <c r="AF32" s="3" t="s">
        <v>32</v>
      </c>
      <c r="AG32" s="3" t="s">
        <v>35</v>
      </c>
    </row>
    <row r="33" spans="1:33">
      <c r="A33" t="s">
        <v>12</v>
      </c>
      <c r="B33" s="2">
        <v>25</v>
      </c>
      <c r="C33" s="2">
        <v>5</v>
      </c>
      <c r="D33" s="2">
        <v>2</v>
      </c>
      <c r="I33" t="s">
        <v>85</v>
      </c>
      <c r="J33">
        <f>$B$18</f>
        <v>32</v>
      </c>
      <c r="K33">
        <f>$C$13*3</f>
        <v>12</v>
      </c>
      <c r="L33">
        <f>$D$13*3</f>
        <v>6</v>
      </c>
      <c r="M33">
        <f>$E$13*3</f>
        <v>12</v>
      </c>
      <c r="N33">
        <f>$F$18</f>
        <v>48</v>
      </c>
      <c r="O33">
        <f>PRODUCT(J33:N33)</f>
        <v>1327104</v>
      </c>
      <c r="P33" s="10">
        <f>O33/$B$19</f>
        <v>1.6038016038016037E-2</v>
      </c>
      <c r="Q33" s="10">
        <f>P33</f>
        <v>1.6038016038016037E-2</v>
      </c>
      <c r="R33" s="10">
        <f>Q33*D34</f>
        <v>1.6038016038016037E-2</v>
      </c>
      <c r="S33" s="10">
        <f>R33</f>
        <v>1.6038016038016037E-2</v>
      </c>
      <c r="W33" t="s">
        <v>86</v>
      </c>
      <c r="X33">
        <f>$B$18</f>
        <v>32</v>
      </c>
      <c r="Y33">
        <f>$C$13*3</f>
        <v>12</v>
      </c>
      <c r="Z33">
        <f>$D$14*3</f>
        <v>9</v>
      </c>
      <c r="AA33">
        <f>$E$13*3</f>
        <v>12</v>
      </c>
      <c r="AB33">
        <f>$F$18</f>
        <v>48</v>
      </c>
      <c r="AC33">
        <f>PRODUCT(X33:AB33)</f>
        <v>1990656</v>
      </c>
      <c r="AD33" s="10">
        <f>AC33/$B$19</f>
        <v>2.4057024057024055E-2</v>
      </c>
      <c r="AE33" s="10">
        <f>AD33</f>
        <v>2.4057024057024055E-2</v>
      </c>
      <c r="AF33" s="10">
        <f>AE33*$D$34</f>
        <v>2.4057024057024055E-2</v>
      </c>
      <c r="AG33" s="10">
        <f>AF33</f>
        <v>2.4057024057024055E-2</v>
      </c>
    </row>
    <row r="34" spans="1:33">
      <c r="A34" t="s">
        <v>20</v>
      </c>
      <c r="B34" s="2">
        <v>50</v>
      </c>
      <c r="C34" s="2">
        <v>5</v>
      </c>
      <c r="D34" s="2">
        <v>1</v>
      </c>
    </row>
    <row r="36" spans="1:33">
      <c r="W36" s="10"/>
    </row>
    <row r="38" spans="1:33">
      <c r="AG38" s="10">
        <f>AG29+AG33</f>
        <v>0.1875817910974161</v>
      </c>
    </row>
    <row r="39" spans="1:33">
      <c r="S39" s="18">
        <f>S29+S33</f>
        <v>0.31253538480100979</v>
      </c>
      <c r="W39" t="s">
        <v>88</v>
      </c>
      <c r="X39" s="19">
        <f>AE29*AE33</f>
        <v>5.7472137587967695E-3</v>
      </c>
      <c r="AG39" s="10">
        <f>AG38*X39</f>
        <v>1.0780726506948112E-3</v>
      </c>
    </row>
    <row r="40" spans="1:33">
      <c r="S40" s="18">
        <f>S39+AG29</f>
        <v>0.47606015184140182</v>
      </c>
    </row>
    <row r="41" spans="1:33">
      <c r="S41" s="18">
        <f>S40+AG33</f>
        <v>0.50011717589842586</v>
      </c>
    </row>
  </sheetData>
  <mergeCells count="2">
    <mergeCell ref="A1:F1"/>
    <mergeCell ref="B19:F19"/>
  </mergeCells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B6B4C-1757-4AD9-906B-20FD7E0A5005}">
  <dimension ref="A1:AI61"/>
  <sheetViews>
    <sheetView zoomScale="90" zoomScaleNormal="90" workbookViewId="0">
      <selection activeCell="N60" sqref="A1:XFD1048576"/>
    </sheetView>
  </sheetViews>
  <sheetFormatPr defaultRowHeight="14.5"/>
  <cols>
    <col min="10" max="10" width="21.1796875" bestFit="1" customWidth="1"/>
    <col min="16" max="17" width="10.81640625" bestFit="1" customWidth="1"/>
    <col min="18" max="18" width="10.26953125" customWidth="1"/>
    <col min="19" max="19" width="20.1796875" bestFit="1" customWidth="1"/>
    <col min="23" max="23" width="16.7265625" customWidth="1"/>
    <col min="24" max="24" width="21.08984375" bestFit="1" customWidth="1"/>
    <col min="30" max="30" width="13.08984375" customWidth="1"/>
    <col min="31" max="31" width="12.81640625" customWidth="1"/>
    <col min="32" max="32" width="14.90625" customWidth="1"/>
    <col min="33" max="33" width="14" customWidth="1"/>
  </cols>
  <sheetData>
    <row r="1" spans="1:35">
      <c r="A1" s="53" t="s">
        <v>13</v>
      </c>
      <c r="B1" s="53" t="s">
        <v>13</v>
      </c>
      <c r="C1" s="53" t="s">
        <v>13</v>
      </c>
      <c r="D1" s="53" t="s">
        <v>13</v>
      </c>
      <c r="E1" s="53" t="s">
        <v>13</v>
      </c>
      <c r="F1" s="53" t="s">
        <v>13</v>
      </c>
      <c r="I1" s="3" t="s">
        <v>23</v>
      </c>
      <c r="J1" s="3" t="s">
        <v>24</v>
      </c>
      <c r="K1" s="3" t="s">
        <v>25</v>
      </c>
      <c r="L1" s="3" t="s">
        <v>26</v>
      </c>
      <c r="M1" s="3" t="s">
        <v>27</v>
      </c>
      <c r="N1" s="3" t="s">
        <v>28</v>
      </c>
      <c r="O1" s="3" t="s">
        <v>31</v>
      </c>
      <c r="P1" s="3" t="s">
        <v>62</v>
      </c>
      <c r="Q1" s="3" t="s">
        <v>63</v>
      </c>
      <c r="R1" s="3" t="s">
        <v>32</v>
      </c>
      <c r="S1" s="3" t="s">
        <v>35</v>
      </c>
      <c r="W1" s="3" t="s">
        <v>83</v>
      </c>
      <c r="X1" s="3" t="s">
        <v>24</v>
      </c>
      <c r="Y1" s="3" t="s">
        <v>25</v>
      </c>
      <c r="Z1" s="3" t="s">
        <v>26</v>
      </c>
      <c r="AA1" s="3" t="s">
        <v>27</v>
      </c>
      <c r="AB1" s="3" t="s">
        <v>28</v>
      </c>
      <c r="AC1" s="3" t="s">
        <v>31</v>
      </c>
      <c r="AD1" s="3" t="s">
        <v>62</v>
      </c>
      <c r="AE1" s="3" t="s">
        <v>63</v>
      </c>
      <c r="AF1" s="3" t="s">
        <v>32</v>
      </c>
      <c r="AG1" s="3" t="s">
        <v>35</v>
      </c>
    </row>
    <row r="2" spans="1:35">
      <c r="A2" s="1" t="s">
        <v>0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I2" s="12" t="s">
        <v>29</v>
      </c>
      <c r="J2" s="8">
        <f>B3+B4</f>
        <v>2</v>
      </c>
      <c r="K2" s="8">
        <f t="shared" ref="K2:N2" si="0">C3+C4</f>
        <v>1</v>
      </c>
      <c r="L2" s="8">
        <f t="shared" si="0"/>
        <v>9</v>
      </c>
      <c r="M2" s="8">
        <f t="shared" si="0"/>
        <v>32</v>
      </c>
      <c r="N2" s="8">
        <f t="shared" si="0"/>
        <v>3</v>
      </c>
      <c r="O2" s="8">
        <f>PRODUCT(J2:N2)</f>
        <v>1728</v>
      </c>
      <c r="P2" s="9">
        <f t="shared" ref="P2:P28" si="1">O2/$B$19</f>
        <v>2.2489205181512874E-5</v>
      </c>
      <c r="Q2" s="9">
        <f t="shared" ref="Q2:Q28" si="2">P2*$A$22</f>
        <v>4.4978410363025748E-4</v>
      </c>
      <c r="R2" s="9">
        <f>Q2*B25</f>
        <v>3.3733807772269309E-2</v>
      </c>
      <c r="S2" s="9">
        <f t="shared" ref="S2:S28" si="3">R2/$B$22</f>
        <v>3.3733807772269309E-3</v>
      </c>
      <c r="W2" s="12" t="s">
        <v>29</v>
      </c>
      <c r="X2" s="8">
        <f>$B$3+$B$4</f>
        <v>2</v>
      </c>
      <c r="Y2" s="8">
        <f>$C$3+$C$4</f>
        <v>1</v>
      </c>
      <c r="Z2" s="8">
        <f>$D$14</f>
        <v>3</v>
      </c>
      <c r="AA2" s="8">
        <f>$E$3+$E$4</f>
        <v>32</v>
      </c>
      <c r="AB2" s="8">
        <f>$F$3+$F$4</f>
        <v>3</v>
      </c>
      <c r="AC2" s="8">
        <f>PRODUCT(X2:AB2)</f>
        <v>576</v>
      </c>
      <c r="AD2" s="14">
        <f t="shared" ref="AD2:AD28" si="4">AC2/$B$19</f>
        <v>7.4964017271709583E-6</v>
      </c>
      <c r="AE2" s="15">
        <f>AD2</f>
        <v>7.4964017271709583E-6</v>
      </c>
      <c r="AF2" s="7">
        <f>AE2*B25</f>
        <v>5.6223012953782192E-4</v>
      </c>
      <c r="AG2" s="7">
        <f>AF2/$B$22</f>
        <v>5.6223012953782192E-5</v>
      </c>
      <c r="AI2" s="7"/>
    </row>
    <row r="3" spans="1:35">
      <c r="A3" t="s">
        <v>19</v>
      </c>
      <c r="B3">
        <v>0</v>
      </c>
      <c r="C3">
        <v>1</v>
      </c>
      <c r="D3">
        <v>3</v>
      </c>
      <c r="E3">
        <v>28</v>
      </c>
      <c r="F3">
        <v>0</v>
      </c>
      <c r="I3" t="s">
        <v>36</v>
      </c>
      <c r="J3">
        <f>J2</f>
        <v>2</v>
      </c>
      <c r="K3">
        <f t="shared" ref="K3:M3" si="5">K2</f>
        <v>1</v>
      </c>
      <c r="L3">
        <f t="shared" si="5"/>
        <v>9</v>
      </c>
      <c r="M3">
        <f t="shared" si="5"/>
        <v>32</v>
      </c>
      <c r="N3">
        <f>F18-N2</f>
        <v>45</v>
      </c>
      <c r="O3">
        <f>PRODUCT(J3:N3)</f>
        <v>25920</v>
      </c>
      <c r="P3" s="7">
        <f t="shared" si="1"/>
        <v>3.373380777226931E-4</v>
      </c>
      <c r="Q3" s="7">
        <f t="shared" si="2"/>
        <v>6.7467615544538617E-3</v>
      </c>
      <c r="R3" s="7">
        <f>Q3*C25</f>
        <v>0.16866903886134654</v>
      </c>
      <c r="S3" s="7">
        <f t="shared" si="3"/>
        <v>1.6866903886134654E-2</v>
      </c>
      <c r="W3" t="s">
        <v>36</v>
      </c>
      <c r="X3">
        <f t="shared" ref="X3:X4" si="6">$B$3+$B$4</f>
        <v>2</v>
      </c>
      <c r="Y3">
        <f t="shared" ref="Y3:Y4" si="7">$C$3+$C$4</f>
        <v>1</v>
      </c>
      <c r="Z3">
        <f t="shared" ref="Z3:Z28" si="8">$D$14</f>
        <v>3</v>
      </c>
      <c r="AA3">
        <f t="shared" ref="AA3" si="9">$E$3+$E$4</f>
        <v>32</v>
      </c>
      <c r="AB3">
        <f>$F$18-$F$3-$F$4</f>
        <v>45</v>
      </c>
      <c r="AC3">
        <f t="shared" ref="AC3:AC28" si="10">PRODUCT(X3:AB3)</f>
        <v>8640</v>
      </c>
      <c r="AD3" s="15">
        <f t="shared" si="4"/>
        <v>1.1244602590756437E-4</v>
      </c>
      <c r="AE3" s="15">
        <f t="shared" ref="AE3:AE28" si="11">AD3</f>
        <v>1.1244602590756437E-4</v>
      </c>
      <c r="AF3" s="7">
        <f>AE3*C25</f>
        <v>2.8111506476891091E-3</v>
      </c>
      <c r="AG3" s="7">
        <f t="shared" ref="AG3:AG28" si="12">AF3/$B$22</f>
        <v>2.8111506476891091E-4</v>
      </c>
      <c r="AI3" s="7"/>
    </row>
    <row r="4" spans="1:35">
      <c r="A4" s="17" t="s">
        <v>4</v>
      </c>
      <c r="B4" s="17">
        <v>2</v>
      </c>
      <c r="C4" s="17">
        <v>0</v>
      </c>
      <c r="D4" s="17">
        <v>6</v>
      </c>
      <c r="E4" s="17">
        <v>4</v>
      </c>
      <c r="F4" s="17">
        <v>3</v>
      </c>
      <c r="I4" t="s">
        <v>37</v>
      </c>
      <c r="J4">
        <f>J2</f>
        <v>2</v>
      </c>
      <c r="K4">
        <f t="shared" ref="K4:L4" si="13">K2</f>
        <v>1</v>
      </c>
      <c r="L4">
        <f t="shared" si="13"/>
        <v>9</v>
      </c>
      <c r="M4">
        <f>E18-M2</f>
        <v>20</v>
      </c>
      <c r="N4">
        <v>48</v>
      </c>
      <c r="O4">
        <f>PRODUCT(J4:N4)</f>
        <v>17280</v>
      </c>
      <c r="P4" s="7">
        <f t="shared" si="1"/>
        <v>2.2489205181512874E-4</v>
      </c>
      <c r="Q4" s="7">
        <f t="shared" si="2"/>
        <v>4.4978410363025745E-3</v>
      </c>
      <c r="R4" s="7">
        <f>Q4*D25</f>
        <v>8.995682072605149E-3</v>
      </c>
      <c r="S4" s="7">
        <f t="shared" si="3"/>
        <v>8.9956820726051485E-4</v>
      </c>
      <c r="W4" t="s">
        <v>37</v>
      </c>
      <c r="X4">
        <f t="shared" si="6"/>
        <v>2</v>
      </c>
      <c r="Y4">
        <f t="shared" si="7"/>
        <v>1</v>
      </c>
      <c r="Z4">
        <f t="shared" si="8"/>
        <v>3</v>
      </c>
      <c r="AA4">
        <f>$E$18-$E$3-$E$4</f>
        <v>20</v>
      </c>
      <c r="AB4">
        <f>$F$18</f>
        <v>48</v>
      </c>
      <c r="AC4">
        <f t="shared" si="10"/>
        <v>5760</v>
      </c>
      <c r="AD4" s="15">
        <f t="shared" si="4"/>
        <v>7.4964017271709585E-5</v>
      </c>
      <c r="AE4" s="15">
        <f t="shared" si="11"/>
        <v>7.4964017271709585E-5</v>
      </c>
      <c r="AF4" s="7">
        <f>AE4*D25</f>
        <v>1.4992803454341917E-4</v>
      </c>
      <c r="AG4" s="7">
        <f t="shared" si="12"/>
        <v>1.4992803454341917E-5</v>
      </c>
      <c r="AI4" s="7"/>
    </row>
    <row r="5" spans="1:35">
      <c r="A5" t="s">
        <v>5</v>
      </c>
      <c r="B5">
        <v>3</v>
      </c>
      <c r="C5">
        <v>0</v>
      </c>
      <c r="D5">
        <v>4</v>
      </c>
      <c r="E5">
        <v>4</v>
      </c>
      <c r="F5">
        <v>4</v>
      </c>
      <c r="I5" s="12" t="s">
        <v>38</v>
      </c>
      <c r="J5" s="8">
        <f>B3+B5</f>
        <v>3</v>
      </c>
      <c r="K5" s="8">
        <f t="shared" ref="K5:N5" si="14">C3+C5</f>
        <v>1</v>
      </c>
      <c r="L5" s="8">
        <f t="shared" si="14"/>
        <v>7</v>
      </c>
      <c r="M5" s="8">
        <f t="shared" si="14"/>
        <v>32</v>
      </c>
      <c r="N5" s="8">
        <f t="shared" si="14"/>
        <v>4</v>
      </c>
      <c r="O5" s="8">
        <f t="shared" ref="O5:O28" si="15">PRODUCT(J5:N5)</f>
        <v>2688</v>
      </c>
      <c r="P5" s="9">
        <f t="shared" si="1"/>
        <v>3.4983208060131136E-5</v>
      </c>
      <c r="Q5" s="9">
        <f t="shared" si="2"/>
        <v>6.9966416120262266E-4</v>
      </c>
      <c r="R5" s="9">
        <f>Q5*B26</f>
        <v>3.4983208060131131E-2</v>
      </c>
      <c r="S5" s="9">
        <f t="shared" si="3"/>
        <v>3.4983208060131131E-3</v>
      </c>
      <c r="W5" s="12" t="s">
        <v>38</v>
      </c>
      <c r="X5" s="8">
        <f>$B$3+$B$5</f>
        <v>3</v>
      </c>
      <c r="Y5" s="8">
        <f>$C$3+$C$5</f>
        <v>1</v>
      </c>
      <c r="Z5" s="8">
        <f t="shared" si="8"/>
        <v>3</v>
      </c>
      <c r="AA5" s="8">
        <f>$E$3+$E$5</f>
        <v>32</v>
      </c>
      <c r="AB5" s="8">
        <f>$F$3+$F$5</f>
        <v>4</v>
      </c>
      <c r="AC5" s="8">
        <f t="shared" si="10"/>
        <v>1152</v>
      </c>
      <c r="AD5" s="14">
        <f t="shared" si="4"/>
        <v>1.4992803454341917E-5</v>
      </c>
      <c r="AE5" s="15">
        <f t="shared" si="11"/>
        <v>1.4992803454341917E-5</v>
      </c>
      <c r="AF5" s="7">
        <f>AE5*$B$26</f>
        <v>7.4964017271709582E-4</v>
      </c>
      <c r="AG5" s="7">
        <f t="shared" si="12"/>
        <v>7.4964017271709585E-5</v>
      </c>
      <c r="AI5" s="7"/>
    </row>
    <row r="6" spans="1:35">
      <c r="A6" s="17" t="s">
        <v>6</v>
      </c>
      <c r="B6" s="17">
        <v>3</v>
      </c>
      <c r="C6" s="17">
        <v>0</v>
      </c>
      <c r="D6" s="17">
        <v>0</v>
      </c>
      <c r="E6" s="17">
        <v>0</v>
      </c>
      <c r="F6" s="17">
        <v>6</v>
      </c>
      <c r="I6" t="s">
        <v>39</v>
      </c>
      <c r="J6">
        <f>J5</f>
        <v>3</v>
      </c>
      <c r="K6">
        <f t="shared" ref="K6:M6" si="16">K5</f>
        <v>1</v>
      </c>
      <c r="L6">
        <f t="shared" si="16"/>
        <v>7</v>
      </c>
      <c r="M6">
        <f t="shared" si="16"/>
        <v>32</v>
      </c>
      <c r="N6">
        <f>F18-N5</f>
        <v>44</v>
      </c>
      <c r="O6">
        <f t="shared" si="15"/>
        <v>29568</v>
      </c>
      <c r="P6" s="7">
        <f t="shared" si="1"/>
        <v>3.8481528866144251E-4</v>
      </c>
      <c r="Q6" s="7">
        <f t="shared" si="2"/>
        <v>7.6963057732288504E-3</v>
      </c>
      <c r="R6" s="7">
        <f>Q6*C26</f>
        <v>9.2355669278746208E-2</v>
      </c>
      <c r="S6" s="7">
        <f t="shared" si="3"/>
        <v>9.2355669278746215E-3</v>
      </c>
      <c r="W6" t="s">
        <v>39</v>
      </c>
      <c r="X6">
        <f t="shared" ref="X6:X7" si="17">$B$3+$B$5</f>
        <v>3</v>
      </c>
      <c r="Y6">
        <f t="shared" ref="Y6:Y7" si="18">$C$3+$C$5</f>
        <v>1</v>
      </c>
      <c r="Z6">
        <f t="shared" si="8"/>
        <v>3</v>
      </c>
      <c r="AA6">
        <f>$E$3+$E$5</f>
        <v>32</v>
      </c>
      <c r="AB6">
        <f>$F$18-$F$3-$F$5</f>
        <v>44</v>
      </c>
      <c r="AC6">
        <f t="shared" si="10"/>
        <v>12672</v>
      </c>
      <c r="AD6" s="15">
        <f t="shared" si="4"/>
        <v>1.6492083799776107E-4</v>
      </c>
      <c r="AE6" s="15">
        <f t="shared" si="11"/>
        <v>1.6492083799776107E-4</v>
      </c>
      <c r="AF6" s="7">
        <f>AE6*$C$26</f>
        <v>1.9790500559731328E-3</v>
      </c>
      <c r="AG6" s="7">
        <f t="shared" si="12"/>
        <v>1.9790500559731329E-4</v>
      </c>
      <c r="AI6" s="7"/>
    </row>
    <row r="7" spans="1:35">
      <c r="A7" t="s">
        <v>7</v>
      </c>
      <c r="B7">
        <v>2</v>
      </c>
      <c r="C7">
        <v>8</v>
      </c>
      <c r="D7">
        <v>2</v>
      </c>
      <c r="E7">
        <v>0</v>
      </c>
      <c r="F7">
        <v>6</v>
      </c>
      <c r="I7" t="s">
        <v>40</v>
      </c>
      <c r="J7">
        <f>J5</f>
        <v>3</v>
      </c>
      <c r="K7">
        <f t="shared" ref="K7:L7" si="19">K5</f>
        <v>1</v>
      </c>
      <c r="L7">
        <f t="shared" si="19"/>
        <v>7</v>
      </c>
      <c r="M7">
        <f>$E$18-$E$3-$E$5</f>
        <v>20</v>
      </c>
      <c r="N7">
        <f>F18</f>
        <v>48</v>
      </c>
      <c r="O7">
        <f t="shared" si="15"/>
        <v>20160</v>
      </c>
      <c r="P7" s="7">
        <f t="shared" si="1"/>
        <v>2.6237406045098353E-4</v>
      </c>
      <c r="Q7" s="7">
        <f t="shared" si="2"/>
        <v>5.2474812090196705E-3</v>
      </c>
      <c r="R7" s="7">
        <f>Q7*D26</f>
        <v>1.0494962418039341E-2</v>
      </c>
      <c r="S7" s="7">
        <f t="shared" si="3"/>
        <v>1.0494962418039341E-3</v>
      </c>
      <c r="W7" t="s">
        <v>40</v>
      </c>
      <c r="X7">
        <f t="shared" si="17"/>
        <v>3</v>
      </c>
      <c r="Y7">
        <f t="shared" si="18"/>
        <v>1</v>
      </c>
      <c r="Z7">
        <f t="shared" si="8"/>
        <v>3</v>
      </c>
      <c r="AA7">
        <f>$E$18-$E$3-$E$5</f>
        <v>20</v>
      </c>
      <c r="AB7">
        <f>$F$18</f>
        <v>48</v>
      </c>
      <c r="AC7">
        <f t="shared" si="10"/>
        <v>8640</v>
      </c>
      <c r="AD7" s="15">
        <f t="shared" si="4"/>
        <v>1.1244602590756437E-4</v>
      </c>
      <c r="AE7" s="15">
        <f t="shared" si="11"/>
        <v>1.1244602590756437E-4</v>
      </c>
      <c r="AF7" s="7">
        <f>AE7*$D$26</f>
        <v>2.2489205181512874E-4</v>
      </c>
      <c r="AG7" s="7">
        <f t="shared" si="12"/>
        <v>2.2489205181512874E-5</v>
      </c>
      <c r="AI7" s="7"/>
    </row>
    <row r="8" spans="1:35">
      <c r="A8" s="17" t="s">
        <v>8</v>
      </c>
      <c r="B8" s="17">
        <v>4</v>
      </c>
      <c r="C8" s="17">
        <v>8</v>
      </c>
      <c r="D8" s="17">
        <v>4</v>
      </c>
      <c r="E8" s="17">
        <v>6</v>
      </c>
      <c r="F8" s="17">
        <v>5</v>
      </c>
      <c r="I8" s="8" t="s">
        <v>41</v>
      </c>
      <c r="J8" s="8">
        <f>B3+B6</f>
        <v>3</v>
      </c>
      <c r="K8" s="8">
        <f t="shared" ref="K8:N8" si="20">C3+C6</f>
        <v>1</v>
      </c>
      <c r="L8" s="8">
        <f t="shared" si="20"/>
        <v>3</v>
      </c>
      <c r="M8" s="8">
        <f t="shared" si="20"/>
        <v>28</v>
      </c>
      <c r="N8" s="8">
        <f t="shared" si="20"/>
        <v>6</v>
      </c>
      <c r="O8" s="8">
        <f t="shared" si="15"/>
        <v>1512</v>
      </c>
      <c r="P8" s="9">
        <f t="shared" si="1"/>
        <v>1.9678054533823763E-5</v>
      </c>
      <c r="Q8" s="9">
        <f t="shared" si="2"/>
        <v>3.9356109067647529E-4</v>
      </c>
      <c r="R8" s="9">
        <f>Q8*B27</f>
        <v>1.9678054533823763E-2</v>
      </c>
      <c r="S8" s="9">
        <f t="shared" si="3"/>
        <v>1.9678054533823763E-3</v>
      </c>
      <c r="W8" s="8" t="s">
        <v>41</v>
      </c>
      <c r="X8" s="8">
        <f>$B$3+$B$6</f>
        <v>3</v>
      </c>
      <c r="Y8" s="8">
        <f>$C$3+$C$6</f>
        <v>1</v>
      </c>
      <c r="Z8" s="8">
        <f t="shared" si="8"/>
        <v>3</v>
      </c>
      <c r="AA8" s="8">
        <f>$E$3+$E$6</f>
        <v>28</v>
      </c>
      <c r="AB8" s="8">
        <f>$F$3+$F$6</f>
        <v>6</v>
      </c>
      <c r="AC8" s="8">
        <f t="shared" si="10"/>
        <v>1512</v>
      </c>
      <c r="AD8" s="14">
        <f t="shared" si="4"/>
        <v>1.9678054533823763E-5</v>
      </c>
      <c r="AE8" s="15">
        <f t="shared" si="11"/>
        <v>1.9678054533823763E-5</v>
      </c>
      <c r="AF8" s="7">
        <f>AE8*$B$27</f>
        <v>9.8390272669118817E-4</v>
      </c>
      <c r="AG8" s="7">
        <f t="shared" si="12"/>
        <v>9.8390272669118822E-5</v>
      </c>
      <c r="AI8" s="7"/>
    </row>
    <row r="9" spans="1:35">
      <c r="A9" t="s">
        <v>9</v>
      </c>
      <c r="B9">
        <v>7</v>
      </c>
      <c r="C9">
        <v>2</v>
      </c>
      <c r="D9">
        <v>2</v>
      </c>
      <c r="E9">
        <v>0</v>
      </c>
      <c r="F9">
        <v>6</v>
      </c>
      <c r="I9" t="s">
        <v>42</v>
      </c>
      <c r="J9">
        <f>J8</f>
        <v>3</v>
      </c>
      <c r="K9">
        <f t="shared" ref="K9:M10" si="21">K8</f>
        <v>1</v>
      </c>
      <c r="L9">
        <f t="shared" si="21"/>
        <v>3</v>
      </c>
      <c r="M9">
        <f t="shared" si="21"/>
        <v>28</v>
      </c>
      <c r="N9">
        <f>F18-N8</f>
        <v>42</v>
      </c>
      <c r="O9">
        <f t="shared" si="15"/>
        <v>10584</v>
      </c>
      <c r="P9" s="7">
        <f t="shared" si="1"/>
        <v>1.3774638173676636E-4</v>
      </c>
      <c r="Q9" s="7">
        <f t="shared" si="2"/>
        <v>2.7549276347353271E-3</v>
      </c>
      <c r="R9" s="7">
        <f>Q9*C27</f>
        <v>3.3059131616823924E-2</v>
      </c>
      <c r="S9" s="7">
        <f t="shared" si="3"/>
        <v>3.3059131616823925E-3</v>
      </c>
      <c r="W9" t="s">
        <v>42</v>
      </c>
      <c r="X9">
        <f t="shared" ref="X9:X10" si="22">$B$3+$B$6</f>
        <v>3</v>
      </c>
      <c r="Y9">
        <f t="shared" ref="Y9:Y10" si="23">$C$3+$C$6</f>
        <v>1</v>
      </c>
      <c r="Z9">
        <f t="shared" si="8"/>
        <v>3</v>
      </c>
      <c r="AA9">
        <f>$E$3+$E$6</f>
        <v>28</v>
      </c>
      <c r="AB9">
        <f>$F$18-$F$3-$F$6</f>
        <v>42</v>
      </c>
      <c r="AC9">
        <f t="shared" si="10"/>
        <v>10584</v>
      </c>
      <c r="AD9" s="15">
        <f t="shared" si="4"/>
        <v>1.3774638173676636E-4</v>
      </c>
      <c r="AE9" s="15">
        <f t="shared" si="11"/>
        <v>1.3774638173676636E-4</v>
      </c>
      <c r="AF9" s="7">
        <f>AE9*$C$27</f>
        <v>1.6529565808411965E-3</v>
      </c>
      <c r="AG9" s="7">
        <f t="shared" si="12"/>
        <v>1.6529565808411965E-4</v>
      </c>
      <c r="AI9" s="7"/>
    </row>
    <row r="10" spans="1:35">
      <c r="A10" s="17" t="s">
        <v>10</v>
      </c>
      <c r="B10" s="17">
        <v>7</v>
      </c>
      <c r="C10" s="17">
        <v>2</v>
      </c>
      <c r="D10" s="17">
        <v>2</v>
      </c>
      <c r="E10" s="17">
        <v>2</v>
      </c>
      <c r="F10" s="17">
        <v>6</v>
      </c>
      <c r="I10" t="s">
        <v>43</v>
      </c>
      <c r="J10">
        <f>J9</f>
        <v>3</v>
      </c>
      <c r="K10">
        <f t="shared" si="21"/>
        <v>1</v>
      </c>
      <c r="L10">
        <f t="shared" si="21"/>
        <v>3</v>
      </c>
      <c r="M10">
        <f>E18-M9</f>
        <v>24</v>
      </c>
      <c r="N10">
        <f>F18</f>
        <v>48</v>
      </c>
      <c r="O10">
        <f t="shared" si="15"/>
        <v>10368</v>
      </c>
      <c r="P10" s="7">
        <f t="shared" si="1"/>
        <v>1.3493523108907724E-4</v>
      </c>
      <c r="Q10" s="7">
        <f t="shared" si="2"/>
        <v>2.6987046217815448E-3</v>
      </c>
      <c r="R10" s="7">
        <f>Q10*D27</f>
        <v>5.3974092435630895E-3</v>
      </c>
      <c r="S10" s="7">
        <f t="shared" si="3"/>
        <v>5.3974092435630898E-4</v>
      </c>
      <c r="W10" t="s">
        <v>43</v>
      </c>
      <c r="X10">
        <f t="shared" si="22"/>
        <v>3</v>
      </c>
      <c r="Y10">
        <f t="shared" si="23"/>
        <v>1</v>
      </c>
      <c r="Z10">
        <f t="shared" si="8"/>
        <v>3</v>
      </c>
      <c r="AA10">
        <f>$E$18-$E$3-$E$6</f>
        <v>24</v>
      </c>
      <c r="AB10">
        <f>$F$18</f>
        <v>48</v>
      </c>
      <c r="AC10">
        <f t="shared" si="10"/>
        <v>10368</v>
      </c>
      <c r="AD10" s="15">
        <f t="shared" si="4"/>
        <v>1.3493523108907724E-4</v>
      </c>
      <c r="AE10" s="15">
        <f t="shared" si="11"/>
        <v>1.3493523108907724E-4</v>
      </c>
      <c r="AF10" s="7">
        <f>AE10*D27</f>
        <v>2.6987046217815449E-4</v>
      </c>
      <c r="AG10" s="7">
        <f t="shared" si="12"/>
        <v>2.6987046217815447E-5</v>
      </c>
      <c r="AI10" s="7"/>
    </row>
    <row r="11" spans="1:35">
      <c r="A11" t="s">
        <v>11</v>
      </c>
      <c r="B11">
        <v>2</v>
      </c>
      <c r="C11">
        <v>6</v>
      </c>
      <c r="D11">
        <v>0</v>
      </c>
      <c r="E11">
        <v>0</v>
      </c>
      <c r="F11">
        <v>6</v>
      </c>
      <c r="I11" s="8" t="s">
        <v>44</v>
      </c>
      <c r="J11" s="8">
        <f>B3+B7</f>
        <v>2</v>
      </c>
      <c r="K11" s="8">
        <f t="shared" ref="K11:N11" si="24">C3+C7</f>
        <v>9</v>
      </c>
      <c r="L11" s="8">
        <f t="shared" si="24"/>
        <v>5</v>
      </c>
      <c r="M11" s="8">
        <f t="shared" si="24"/>
        <v>28</v>
      </c>
      <c r="N11" s="8">
        <f t="shared" si="24"/>
        <v>6</v>
      </c>
      <c r="O11" s="8">
        <f t="shared" si="15"/>
        <v>15120</v>
      </c>
      <c r="P11" s="9">
        <f t="shared" si="1"/>
        <v>1.9678054533823764E-4</v>
      </c>
      <c r="Q11" s="9">
        <f t="shared" si="2"/>
        <v>3.9356109067647527E-3</v>
      </c>
      <c r="R11" s="9">
        <f>Q11*B28</f>
        <v>0.19678054533823763</v>
      </c>
      <c r="S11" s="9">
        <f t="shared" si="3"/>
        <v>1.9678054533823763E-2</v>
      </c>
      <c r="W11" s="8" t="s">
        <v>44</v>
      </c>
      <c r="X11" s="8">
        <f>$B$3+$B$7</f>
        <v>2</v>
      </c>
      <c r="Y11" s="8">
        <f>$C$3+$C$7</f>
        <v>9</v>
      </c>
      <c r="Z11" s="8">
        <f t="shared" si="8"/>
        <v>3</v>
      </c>
      <c r="AA11" s="8">
        <f>$E$3+$E$7</f>
        <v>28</v>
      </c>
      <c r="AB11" s="8">
        <f>$F$3+$F$7</f>
        <v>6</v>
      </c>
      <c r="AC11" s="8">
        <f t="shared" si="10"/>
        <v>9072</v>
      </c>
      <c r="AD11" s="14">
        <f t="shared" si="4"/>
        <v>1.1806832720294259E-4</v>
      </c>
      <c r="AE11" s="15">
        <f t="shared" si="11"/>
        <v>1.1806832720294259E-4</v>
      </c>
      <c r="AF11" s="7">
        <f>AE11*B28</f>
        <v>5.9034163601471299E-3</v>
      </c>
      <c r="AG11" s="7">
        <f t="shared" si="12"/>
        <v>5.9034163601471299E-4</v>
      </c>
      <c r="AI11" s="7"/>
    </row>
    <row r="12" spans="1:35">
      <c r="A12" s="17" t="s">
        <v>12</v>
      </c>
      <c r="B12" s="17">
        <v>2</v>
      </c>
      <c r="C12" s="17">
        <v>6</v>
      </c>
      <c r="D12" s="17">
        <v>0</v>
      </c>
      <c r="E12" s="17">
        <v>4</v>
      </c>
      <c r="F12" s="17">
        <v>6</v>
      </c>
      <c r="I12" t="s">
        <v>45</v>
      </c>
      <c r="J12">
        <f>J11</f>
        <v>2</v>
      </c>
      <c r="K12">
        <f t="shared" ref="K12:M13" si="25">K11</f>
        <v>9</v>
      </c>
      <c r="L12">
        <f t="shared" si="25"/>
        <v>5</v>
      </c>
      <c r="M12">
        <f t="shared" si="25"/>
        <v>28</v>
      </c>
      <c r="N12">
        <f>F18-N11</f>
        <v>42</v>
      </c>
      <c r="O12">
        <f t="shared" si="15"/>
        <v>105840</v>
      </c>
      <c r="P12" s="7">
        <f t="shared" si="1"/>
        <v>1.3774638173676636E-3</v>
      </c>
      <c r="Q12" s="7">
        <f t="shared" si="2"/>
        <v>2.7549276347353272E-2</v>
      </c>
      <c r="R12" s="7">
        <f>Q12*C28</f>
        <v>0.33059131616823928</v>
      </c>
      <c r="S12" s="7">
        <f t="shared" si="3"/>
        <v>3.3059131616823931E-2</v>
      </c>
      <c r="W12" t="s">
        <v>45</v>
      </c>
      <c r="X12">
        <f t="shared" ref="X12:X13" si="26">$B$3+$B$7</f>
        <v>2</v>
      </c>
      <c r="Y12">
        <f t="shared" ref="Y12:Y13" si="27">$C$3+$C$7</f>
        <v>9</v>
      </c>
      <c r="Z12">
        <f t="shared" si="8"/>
        <v>3</v>
      </c>
      <c r="AA12">
        <f t="shared" ref="AA12" si="28">AA11</f>
        <v>28</v>
      </c>
      <c r="AB12">
        <f>$F$18-$F$3-$F$7</f>
        <v>42</v>
      </c>
      <c r="AC12">
        <f t="shared" si="10"/>
        <v>63504</v>
      </c>
      <c r="AD12" s="15">
        <f t="shared" si="4"/>
        <v>8.2647829042059812E-4</v>
      </c>
      <c r="AE12" s="15">
        <f t="shared" si="11"/>
        <v>8.2647829042059812E-4</v>
      </c>
      <c r="AF12" s="7">
        <f>AE12*$C$28</f>
        <v>9.9177394850471778E-3</v>
      </c>
      <c r="AG12" s="7">
        <f t="shared" si="12"/>
        <v>9.9177394850471774E-4</v>
      </c>
      <c r="AI12" s="7"/>
    </row>
    <row r="13" spans="1:35">
      <c r="A13" t="s">
        <v>20</v>
      </c>
      <c r="B13">
        <v>0</v>
      </c>
      <c r="C13">
        <v>4</v>
      </c>
      <c r="D13">
        <v>0</v>
      </c>
      <c r="E13">
        <v>4</v>
      </c>
      <c r="F13">
        <v>0</v>
      </c>
      <c r="I13" t="s">
        <v>46</v>
      </c>
      <c r="J13">
        <f>J12</f>
        <v>2</v>
      </c>
      <c r="K13">
        <f t="shared" si="25"/>
        <v>9</v>
      </c>
      <c r="L13">
        <f t="shared" si="25"/>
        <v>5</v>
      </c>
      <c r="M13">
        <f>E18-M11</f>
        <v>24</v>
      </c>
      <c r="N13">
        <f>F18</f>
        <v>48</v>
      </c>
      <c r="O13">
        <f t="shared" si="15"/>
        <v>103680</v>
      </c>
      <c r="P13" s="7">
        <f t="shared" si="1"/>
        <v>1.3493523108907724E-3</v>
      </c>
      <c r="Q13" s="7">
        <f t="shared" si="2"/>
        <v>2.6987046217815447E-2</v>
      </c>
      <c r="R13" s="7">
        <f>Q13*D28</f>
        <v>5.3974092435630894E-2</v>
      </c>
      <c r="S13" s="7">
        <f t="shared" si="3"/>
        <v>5.3974092435630895E-3</v>
      </c>
      <c r="W13" t="s">
        <v>46</v>
      </c>
      <c r="X13">
        <f t="shared" si="26"/>
        <v>2</v>
      </c>
      <c r="Y13">
        <f t="shared" si="27"/>
        <v>9</v>
      </c>
      <c r="Z13">
        <f t="shared" si="8"/>
        <v>3</v>
      </c>
      <c r="AA13">
        <f>$E$18-$E$3-$E$7</f>
        <v>24</v>
      </c>
      <c r="AB13">
        <f>$F$18</f>
        <v>48</v>
      </c>
      <c r="AC13">
        <f t="shared" si="10"/>
        <v>62208</v>
      </c>
      <c r="AD13" s="15">
        <f t="shared" si="4"/>
        <v>8.0961138653446341E-4</v>
      </c>
      <c r="AE13" s="15">
        <f t="shared" si="11"/>
        <v>8.0961138653446341E-4</v>
      </c>
      <c r="AF13" s="7">
        <f>AE13*$D$28</f>
        <v>1.6192227730689268E-3</v>
      </c>
      <c r="AG13" s="7">
        <f t="shared" si="12"/>
        <v>1.6192227730689267E-4</v>
      </c>
      <c r="AI13" s="7"/>
    </row>
    <row r="14" spans="1:35">
      <c r="A14" s="17" t="s">
        <v>21</v>
      </c>
      <c r="B14" s="17">
        <v>0</v>
      </c>
      <c r="C14" s="17">
        <v>0</v>
      </c>
      <c r="D14" s="17">
        <v>3</v>
      </c>
      <c r="E14" s="17">
        <v>0</v>
      </c>
      <c r="F14" s="17">
        <v>0</v>
      </c>
      <c r="I14" s="8" t="s">
        <v>47</v>
      </c>
      <c r="J14" s="8">
        <f>B3+B8</f>
        <v>4</v>
      </c>
      <c r="K14" s="8">
        <f t="shared" ref="K14:N14" si="29">C3+C8</f>
        <v>9</v>
      </c>
      <c r="L14" s="8">
        <f t="shared" si="29"/>
        <v>7</v>
      </c>
      <c r="M14" s="8">
        <f t="shared" si="29"/>
        <v>34</v>
      </c>
      <c r="N14" s="8">
        <f t="shared" si="29"/>
        <v>5</v>
      </c>
      <c r="O14" s="8">
        <f t="shared" si="15"/>
        <v>42840</v>
      </c>
      <c r="P14" s="9">
        <f t="shared" si="1"/>
        <v>5.5754487845834002E-4</v>
      </c>
      <c r="Q14" s="9">
        <f t="shared" si="2"/>
        <v>1.11508975691668E-2</v>
      </c>
      <c r="R14" s="9">
        <f>Q14*B29</f>
        <v>0.44603590276667204</v>
      </c>
      <c r="S14" s="9">
        <f t="shared" si="3"/>
        <v>4.4603590276667202E-2</v>
      </c>
      <c r="W14" s="8" t="s">
        <v>47</v>
      </c>
      <c r="X14" s="8">
        <f>$B$3+$B$8</f>
        <v>4</v>
      </c>
      <c r="Y14" s="8">
        <f>$C$3+$C$8</f>
        <v>9</v>
      </c>
      <c r="Z14" s="8">
        <f t="shared" si="8"/>
        <v>3</v>
      </c>
      <c r="AA14" s="8">
        <f>$E$3+$E$8</f>
        <v>34</v>
      </c>
      <c r="AB14" s="8">
        <f>$F$3+$F$8</f>
        <v>5</v>
      </c>
      <c r="AC14" s="8">
        <f t="shared" si="10"/>
        <v>18360</v>
      </c>
      <c r="AD14" s="14">
        <f t="shared" si="4"/>
        <v>2.3894780505357427E-4</v>
      </c>
      <c r="AE14" s="15">
        <f t="shared" si="11"/>
        <v>2.3894780505357427E-4</v>
      </c>
      <c r="AF14" s="7">
        <f>AE14*$B$29</f>
        <v>9.5579122021429708E-3</v>
      </c>
      <c r="AG14" s="7">
        <f t="shared" si="12"/>
        <v>9.557912202142971E-4</v>
      </c>
      <c r="AI14" s="7"/>
    </row>
    <row r="15" spans="1:35">
      <c r="A15" t="s">
        <v>68</v>
      </c>
      <c r="B15">
        <v>0</v>
      </c>
      <c r="C15">
        <v>0</v>
      </c>
      <c r="D15">
        <v>0</v>
      </c>
      <c r="E15">
        <v>0</v>
      </c>
      <c r="F15">
        <v>0</v>
      </c>
      <c r="I15" t="s">
        <v>48</v>
      </c>
      <c r="J15">
        <f>J14</f>
        <v>4</v>
      </c>
      <c r="K15">
        <f>K14</f>
        <v>9</v>
      </c>
      <c r="L15">
        <f>L14</f>
        <v>7</v>
      </c>
      <c r="M15">
        <f>M14</f>
        <v>34</v>
      </c>
      <c r="N15">
        <f>F18-N14</f>
        <v>43</v>
      </c>
      <c r="O15">
        <f t="shared" si="15"/>
        <v>368424</v>
      </c>
      <c r="P15" s="7">
        <f t="shared" si="1"/>
        <v>4.7948859547417236E-3</v>
      </c>
      <c r="Q15" s="7">
        <f t="shared" si="2"/>
        <v>9.5897719094834466E-2</v>
      </c>
      <c r="R15" s="7">
        <f>Q15*C29</f>
        <v>0.67128403366384126</v>
      </c>
      <c r="S15" s="7">
        <f t="shared" si="3"/>
        <v>6.7128403366384121E-2</v>
      </c>
      <c r="W15" t="s">
        <v>48</v>
      </c>
      <c r="X15">
        <f t="shared" ref="X15:X16" si="30">$B$3+$B$8</f>
        <v>4</v>
      </c>
      <c r="Y15">
        <f t="shared" ref="Y15:Y16" si="31">$C$3+$C$8</f>
        <v>9</v>
      </c>
      <c r="Z15">
        <f t="shared" si="8"/>
        <v>3</v>
      </c>
      <c r="AA15">
        <f>$E$3+$E$8</f>
        <v>34</v>
      </c>
      <c r="AB15">
        <f>$F$18-$F$3-$F$8</f>
        <v>43</v>
      </c>
      <c r="AC15">
        <f t="shared" si="10"/>
        <v>157896</v>
      </c>
      <c r="AD15" s="15">
        <f t="shared" si="4"/>
        <v>2.0549511234607388E-3</v>
      </c>
      <c r="AE15" s="15">
        <f t="shared" si="11"/>
        <v>2.0549511234607388E-3</v>
      </c>
      <c r="AF15" s="7">
        <f>AE15*$C$29</f>
        <v>1.4384657864225171E-2</v>
      </c>
      <c r="AG15" s="7">
        <f t="shared" si="12"/>
        <v>1.4384657864225171E-3</v>
      </c>
      <c r="AI15" s="7"/>
    </row>
    <row r="16" spans="1:35">
      <c r="A16" s="17" t="s">
        <v>69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I16" t="s">
        <v>49</v>
      </c>
      <c r="J16">
        <f>J14</f>
        <v>4</v>
      </c>
      <c r="K16">
        <f>K14</f>
        <v>9</v>
      </c>
      <c r="L16">
        <f>L14</f>
        <v>7</v>
      </c>
      <c r="M16">
        <f>E18-M14</f>
        <v>18</v>
      </c>
      <c r="N16">
        <f>F18</f>
        <v>48</v>
      </c>
      <c r="O16">
        <f t="shared" si="15"/>
        <v>217728</v>
      </c>
      <c r="P16" s="7">
        <f t="shared" si="1"/>
        <v>2.833639852870622E-3</v>
      </c>
      <c r="Q16" s="7">
        <f t="shared" si="2"/>
        <v>5.667279705741244E-2</v>
      </c>
      <c r="R16" s="7">
        <f>Q16*D29</f>
        <v>0.11334559411482488</v>
      </c>
      <c r="S16" s="7">
        <f t="shared" si="3"/>
        <v>1.1334559411482488E-2</v>
      </c>
      <c r="W16" t="s">
        <v>49</v>
      </c>
      <c r="X16">
        <f t="shared" si="30"/>
        <v>4</v>
      </c>
      <c r="Y16">
        <f t="shared" si="31"/>
        <v>9</v>
      </c>
      <c r="Z16">
        <f t="shared" si="8"/>
        <v>3</v>
      </c>
      <c r="AA16">
        <f>$E$18-$E$3-$E$8</f>
        <v>18</v>
      </c>
      <c r="AB16">
        <f>$F$18</f>
        <v>48</v>
      </c>
      <c r="AC16">
        <f t="shared" si="10"/>
        <v>93312</v>
      </c>
      <c r="AD16" s="15">
        <f t="shared" si="4"/>
        <v>1.2144170798016952E-3</v>
      </c>
      <c r="AE16" s="15">
        <f t="shared" si="11"/>
        <v>1.2144170798016952E-3</v>
      </c>
      <c r="AF16" s="7">
        <f>AE16*$D$29</f>
        <v>2.4288341596033903E-3</v>
      </c>
      <c r="AG16" s="7">
        <f t="shared" si="12"/>
        <v>2.4288341596033903E-4</v>
      </c>
      <c r="AI16" s="7"/>
    </row>
    <row r="17" spans="1:35">
      <c r="A17" t="s">
        <v>70</v>
      </c>
      <c r="B17">
        <v>0</v>
      </c>
      <c r="C17">
        <v>0</v>
      </c>
      <c r="D17">
        <v>0</v>
      </c>
      <c r="E17">
        <v>0</v>
      </c>
      <c r="F17">
        <v>0</v>
      </c>
      <c r="I17" s="8" t="s">
        <v>50</v>
      </c>
      <c r="J17" s="8">
        <f>B3+B9</f>
        <v>7</v>
      </c>
      <c r="K17" s="8">
        <f>C3+C9</f>
        <v>3</v>
      </c>
      <c r="L17" s="8">
        <f>D3+D9</f>
        <v>5</v>
      </c>
      <c r="M17" s="8">
        <f>E3+E9</f>
        <v>28</v>
      </c>
      <c r="N17" s="8">
        <f>F3+F9</f>
        <v>6</v>
      </c>
      <c r="O17" s="8">
        <f t="shared" si="15"/>
        <v>17640</v>
      </c>
      <c r="P17" s="9">
        <f t="shared" si="1"/>
        <v>2.2957730289461059E-4</v>
      </c>
      <c r="Q17" s="9">
        <f t="shared" si="2"/>
        <v>4.591546057892212E-3</v>
      </c>
      <c r="R17" s="9">
        <f>Q17*B30</f>
        <v>0.1147886514473053</v>
      </c>
      <c r="S17" s="9">
        <f t="shared" si="3"/>
        <v>1.1478865144730529E-2</v>
      </c>
      <c r="W17" s="8" t="s">
        <v>50</v>
      </c>
      <c r="X17" s="8">
        <f>$B$3+$B$9</f>
        <v>7</v>
      </c>
      <c r="Y17" s="8">
        <f>$C$3+$C$9</f>
        <v>3</v>
      </c>
      <c r="Z17" s="8">
        <f t="shared" si="8"/>
        <v>3</v>
      </c>
      <c r="AA17" s="8">
        <f>$E$3+$E$9</f>
        <v>28</v>
      </c>
      <c r="AB17" s="8">
        <f>$F$3+$F$9</f>
        <v>6</v>
      </c>
      <c r="AC17" s="8">
        <f t="shared" si="10"/>
        <v>10584</v>
      </c>
      <c r="AD17" s="14">
        <f t="shared" si="4"/>
        <v>1.3774638173676636E-4</v>
      </c>
      <c r="AE17" s="15">
        <f t="shared" si="11"/>
        <v>1.3774638173676636E-4</v>
      </c>
      <c r="AF17" s="7">
        <f>AE17*B30</f>
        <v>3.443659543419159E-3</v>
      </c>
      <c r="AG17" s="7">
        <f t="shared" si="12"/>
        <v>3.4436595434191589E-4</v>
      </c>
      <c r="AI17" s="7"/>
    </row>
    <row r="18" spans="1:35">
      <c r="A18" s="1" t="s">
        <v>22</v>
      </c>
      <c r="B18" s="5">
        <f>SUM(B3:B17)</f>
        <v>32</v>
      </c>
      <c r="C18" s="5">
        <f>SUM(C3:C17)</f>
        <v>37</v>
      </c>
      <c r="D18" s="5">
        <f>SUM(D3:D17)</f>
        <v>26</v>
      </c>
      <c r="E18" s="5">
        <f>SUM(E3:E17)</f>
        <v>52</v>
      </c>
      <c r="F18" s="5">
        <f>SUM(F3:F17)</f>
        <v>48</v>
      </c>
      <c r="I18" t="s">
        <v>51</v>
      </c>
      <c r="J18">
        <f>J17</f>
        <v>7</v>
      </c>
      <c r="K18">
        <f t="shared" ref="K18:M18" si="32">K17</f>
        <v>3</v>
      </c>
      <c r="L18">
        <f t="shared" si="32"/>
        <v>5</v>
      </c>
      <c r="M18">
        <f t="shared" si="32"/>
        <v>28</v>
      </c>
      <c r="N18">
        <f>F18-N17</f>
        <v>42</v>
      </c>
      <c r="O18">
        <f t="shared" si="15"/>
        <v>123480</v>
      </c>
      <c r="P18" s="7">
        <f t="shared" si="1"/>
        <v>1.6070411202622741E-3</v>
      </c>
      <c r="Q18" s="7">
        <f t="shared" si="2"/>
        <v>3.2140822405245482E-2</v>
      </c>
      <c r="R18" s="7">
        <f>Q18*C30</f>
        <v>0.16070411202622742</v>
      </c>
      <c r="S18" s="7">
        <f t="shared" si="3"/>
        <v>1.6070411202622741E-2</v>
      </c>
      <c r="W18" t="s">
        <v>51</v>
      </c>
      <c r="X18">
        <f t="shared" ref="X18:X19" si="33">$B$3+$B$9</f>
        <v>7</v>
      </c>
      <c r="Y18">
        <f t="shared" ref="Y18:Y19" si="34">$C$3+$C$9</f>
        <v>3</v>
      </c>
      <c r="Z18">
        <f t="shared" si="8"/>
        <v>3</v>
      </c>
      <c r="AA18">
        <f>$E$3+$E$9</f>
        <v>28</v>
      </c>
      <c r="AB18">
        <f>$F$18-$F$3-$F$9</f>
        <v>42</v>
      </c>
      <c r="AC18">
        <f t="shared" si="10"/>
        <v>74088</v>
      </c>
      <c r="AD18" s="15">
        <f t="shared" si="4"/>
        <v>9.6422467215736445E-4</v>
      </c>
      <c r="AE18" s="15">
        <f t="shared" si="11"/>
        <v>9.6422467215736445E-4</v>
      </c>
      <c r="AF18" s="7">
        <f>AE18*$C$30</f>
        <v>4.8211233607868224E-3</v>
      </c>
      <c r="AG18" s="7">
        <f t="shared" si="12"/>
        <v>4.8211233607868223E-4</v>
      </c>
      <c r="AI18" s="7"/>
    </row>
    <row r="19" spans="1:35">
      <c r="A19" s="4" t="s">
        <v>33</v>
      </c>
      <c r="B19" s="54">
        <f>PRODUCT(B18:F18)</f>
        <v>76836864</v>
      </c>
      <c r="C19" s="54"/>
      <c r="D19" s="54"/>
      <c r="E19" s="54"/>
      <c r="F19" s="54"/>
      <c r="I19" t="s">
        <v>52</v>
      </c>
      <c r="J19">
        <f>J17</f>
        <v>7</v>
      </c>
      <c r="K19">
        <f t="shared" ref="K19:L19" si="35">K17</f>
        <v>3</v>
      </c>
      <c r="L19">
        <f t="shared" si="35"/>
        <v>5</v>
      </c>
      <c r="M19">
        <f>E18-M17</f>
        <v>24</v>
      </c>
      <c r="N19">
        <f>F18</f>
        <v>48</v>
      </c>
      <c r="O19">
        <f t="shared" si="15"/>
        <v>120960</v>
      </c>
      <c r="P19" s="7">
        <f t="shared" si="1"/>
        <v>1.5742443627059012E-3</v>
      </c>
      <c r="Q19" s="7">
        <f t="shared" si="2"/>
        <v>3.1484887254118021E-2</v>
      </c>
      <c r="R19" s="7">
        <f>Q19*D30</f>
        <v>6.2969774508236043E-2</v>
      </c>
      <c r="S19" s="7">
        <f t="shared" si="3"/>
        <v>6.2969774508236046E-3</v>
      </c>
      <c r="W19" t="s">
        <v>52</v>
      </c>
      <c r="X19">
        <f t="shared" si="33"/>
        <v>7</v>
      </c>
      <c r="Y19">
        <f t="shared" si="34"/>
        <v>3</v>
      </c>
      <c r="Z19">
        <f t="shared" si="8"/>
        <v>3</v>
      </c>
      <c r="AA19">
        <f>$E$18-$E$3-$E$9</f>
        <v>24</v>
      </c>
      <c r="AB19">
        <f>$F$18</f>
        <v>48</v>
      </c>
      <c r="AC19">
        <f t="shared" si="10"/>
        <v>72576</v>
      </c>
      <c r="AD19" s="15">
        <f t="shared" si="4"/>
        <v>9.4454661762354074E-4</v>
      </c>
      <c r="AE19" s="15">
        <f t="shared" si="11"/>
        <v>9.4454661762354074E-4</v>
      </c>
      <c r="AF19" s="7">
        <f>AE19*$D$30</f>
        <v>1.8890932352470815E-3</v>
      </c>
      <c r="AG19" s="7">
        <f t="shared" si="12"/>
        <v>1.8890932352470815E-4</v>
      </c>
      <c r="AI19" s="7"/>
    </row>
    <row r="20" spans="1:35">
      <c r="A20" s="11"/>
      <c r="B20" s="6"/>
      <c r="I20" s="8" t="s">
        <v>53</v>
      </c>
      <c r="J20" s="8">
        <f>B3+B10</f>
        <v>7</v>
      </c>
      <c r="K20" s="8">
        <f>C3+C10</f>
        <v>3</v>
      </c>
      <c r="L20" s="8">
        <f>D3+D10</f>
        <v>5</v>
      </c>
      <c r="M20" s="8">
        <f>E3+E10</f>
        <v>30</v>
      </c>
      <c r="N20" s="8">
        <f>F3+F10</f>
        <v>6</v>
      </c>
      <c r="O20" s="8">
        <f t="shared" si="15"/>
        <v>18900</v>
      </c>
      <c r="P20" s="9">
        <f t="shared" si="1"/>
        <v>2.4597568167279704E-4</v>
      </c>
      <c r="Q20" s="9">
        <f t="shared" si="2"/>
        <v>4.9195136334559408E-3</v>
      </c>
      <c r="R20" s="9">
        <f>Q20*B31</f>
        <v>0.12298784083639852</v>
      </c>
      <c r="S20" s="9">
        <f t="shared" si="3"/>
        <v>1.2298784083639852E-2</v>
      </c>
      <c r="W20" s="8" t="s">
        <v>53</v>
      </c>
      <c r="X20" s="8">
        <f>$B$3+$B$10</f>
        <v>7</v>
      </c>
      <c r="Y20" s="8">
        <f>$C$3+$C$10</f>
        <v>3</v>
      </c>
      <c r="Z20" s="8">
        <f t="shared" si="8"/>
        <v>3</v>
      </c>
      <c r="AA20" s="8">
        <f>$E$3+$E$10</f>
        <v>30</v>
      </c>
      <c r="AB20" s="8">
        <f>$F$3+$F$10</f>
        <v>6</v>
      </c>
      <c r="AC20" s="8">
        <f t="shared" si="10"/>
        <v>11340</v>
      </c>
      <c r="AD20" s="14">
        <f t="shared" si="4"/>
        <v>1.4758540900367825E-4</v>
      </c>
      <c r="AE20" s="15">
        <f t="shared" si="11"/>
        <v>1.4758540900367825E-4</v>
      </c>
      <c r="AF20" s="7">
        <f>AE20*$B$31</f>
        <v>3.6896352250919561E-3</v>
      </c>
      <c r="AG20" s="7">
        <f t="shared" si="12"/>
        <v>3.6896352250919562E-4</v>
      </c>
      <c r="AI20" s="7"/>
    </row>
    <row r="21" spans="1:35">
      <c r="A21" s="3" t="s">
        <v>30</v>
      </c>
      <c r="B21" s="3" t="s">
        <v>34</v>
      </c>
      <c r="I21" t="s">
        <v>54</v>
      </c>
      <c r="J21">
        <f>J20</f>
        <v>7</v>
      </c>
      <c r="K21">
        <f t="shared" ref="K21:M21" si="36">K20</f>
        <v>3</v>
      </c>
      <c r="L21">
        <f t="shared" si="36"/>
        <v>5</v>
      </c>
      <c r="M21">
        <f t="shared" si="36"/>
        <v>30</v>
      </c>
      <c r="N21">
        <f>F18-N20</f>
        <v>42</v>
      </c>
      <c r="O21">
        <f t="shared" si="15"/>
        <v>132300</v>
      </c>
      <c r="P21" s="7">
        <f t="shared" si="1"/>
        <v>1.7218297717095795E-3</v>
      </c>
      <c r="Q21" s="7">
        <f t="shared" si="2"/>
        <v>3.4436595434191593E-2</v>
      </c>
      <c r="R21" s="7">
        <f>Q21*C31</f>
        <v>0.17218297717095796</v>
      </c>
      <c r="S21" s="7">
        <f t="shared" si="3"/>
        <v>1.7218297717095796E-2</v>
      </c>
      <c r="W21" t="s">
        <v>54</v>
      </c>
      <c r="X21">
        <f t="shared" ref="X21:X22" si="37">$B$3+$B$10</f>
        <v>7</v>
      </c>
      <c r="Y21">
        <f t="shared" ref="Y21:Y22" si="38">$C$3+$C$10</f>
        <v>3</v>
      </c>
      <c r="Z21">
        <f t="shared" si="8"/>
        <v>3</v>
      </c>
      <c r="AA21">
        <f>$E$3+$E$10</f>
        <v>30</v>
      </c>
      <c r="AB21">
        <f>$F$18-$F$3-$F$10</f>
        <v>42</v>
      </c>
      <c r="AC21">
        <f t="shared" si="10"/>
        <v>79380</v>
      </c>
      <c r="AD21" s="15">
        <f t="shared" si="4"/>
        <v>1.0330978630257476E-3</v>
      </c>
      <c r="AE21" s="15">
        <f t="shared" si="11"/>
        <v>1.0330978630257476E-3</v>
      </c>
      <c r="AF21" s="7">
        <f>AE21*$C$31</f>
        <v>5.1654893151287379E-3</v>
      </c>
      <c r="AG21" s="7">
        <f t="shared" si="12"/>
        <v>5.1654893151287381E-4</v>
      </c>
      <c r="AI21" s="7"/>
    </row>
    <row r="22" spans="1:35">
      <c r="A22">
        <v>20</v>
      </c>
      <c r="B22">
        <v>10</v>
      </c>
      <c r="I22" t="s">
        <v>55</v>
      </c>
      <c r="J22">
        <f>J20</f>
        <v>7</v>
      </c>
      <c r="K22">
        <f t="shared" ref="K22:L22" si="39">K20</f>
        <v>3</v>
      </c>
      <c r="L22">
        <f t="shared" si="39"/>
        <v>5</v>
      </c>
      <c r="M22">
        <f>E18-M20</f>
        <v>22</v>
      </c>
      <c r="N22">
        <f>F18</f>
        <v>48</v>
      </c>
      <c r="O22">
        <f t="shared" si="15"/>
        <v>110880</v>
      </c>
      <c r="P22" s="7">
        <f t="shared" si="1"/>
        <v>1.4430573324804095E-3</v>
      </c>
      <c r="Q22" s="7">
        <f t="shared" si="2"/>
        <v>2.8861146649608191E-2</v>
      </c>
      <c r="R22" s="7">
        <f>Q22*D31</f>
        <v>5.7722293299216382E-2</v>
      </c>
      <c r="S22" s="7">
        <f t="shared" si="3"/>
        <v>5.772229329921638E-3</v>
      </c>
      <c r="W22" t="s">
        <v>55</v>
      </c>
      <c r="X22">
        <f t="shared" si="37"/>
        <v>7</v>
      </c>
      <c r="Y22">
        <f t="shared" si="38"/>
        <v>3</v>
      </c>
      <c r="Z22">
        <f t="shared" si="8"/>
        <v>3</v>
      </c>
      <c r="AA22">
        <f>$E$18-$E$3-$E$10</f>
        <v>22</v>
      </c>
      <c r="AB22">
        <f>$F$18</f>
        <v>48</v>
      </c>
      <c r="AC22">
        <f t="shared" si="10"/>
        <v>66528</v>
      </c>
      <c r="AD22" s="15">
        <f t="shared" si="4"/>
        <v>8.6583439948824566E-4</v>
      </c>
      <c r="AE22" s="15">
        <f t="shared" si="11"/>
        <v>8.6583439948824566E-4</v>
      </c>
      <c r="AF22" s="7">
        <f>AE22*D31</f>
        <v>1.7316687989764913E-3</v>
      </c>
      <c r="AG22" s="7">
        <f t="shared" si="12"/>
        <v>1.7316687989764914E-4</v>
      </c>
      <c r="AI22" s="7"/>
    </row>
    <row r="23" spans="1:35">
      <c r="I23" s="8" t="s">
        <v>56</v>
      </c>
      <c r="J23" s="8">
        <f>B3+B11</f>
        <v>2</v>
      </c>
      <c r="K23" s="8">
        <f>C3+C11</f>
        <v>7</v>
      </c>
      <c r="L23" s="8">
        <f>D3+D11</f>
        <v>3</v>
      </c>
      <c r="M23" s="8">
        <f>E3+E11</f>
        <v>28</v>
      </c>
      <c r="N23" s="8">
        <f>F3+F11</f>
        <v>6</v>
      </c>
      <c r="O23" s="8">
        <f t="shared" si="15"/>
        <v>7056</v>
      </c>
      <c r="P23" s="9">
        <f t="shared" si="1"/>
        <v>9.1830921157844237E-5</v>
      </c>
      <c r="Q23" s="9">
        <f t="shared" si="2"/>
        <v>1.8366184231568847E-3</v>
      </c>
      <c r="R23" s="9">
        <f>Q23*B32</f>
        <v>4.5915460578922117E-2</v>
      </c>
      <c r="S23" s="9">
        <f t="shared" si="3"/>
        <v>4.591546057892212E-3</v>
      </c>
      <c r="W23" s="8" t="s">
        <v>56</v>
      </c>
      <c r="X23" s="8">
        <f>$B$3+$B$11</f>
        <v>2</v>
      </c>
      <c r="Y23" s="8">
        <f>$C$3+$C$11</f>
        <v>7</v>
      </c>
      <c r="Z23" s="8">
        <f t="shared" si="8"/>
        <v>3</v>
      </c>
      <c r="AA23" s="8">
        <f>$E$3+$E$11</f>
        <v>28</v>
      </c>
      <c r="AB23" s="8">
        <f>$F$3+$F$11</f>
        <v>6</v>
      </c>
      <c r="AC23" s="8">
        <f t="shared" si="10"/>
        <v>7056</v>
      </c>
      <c r="AD23" s="14">
        <f t="shared" si="4"/>
        <v>9.1830921157844237E-5</v>
      </c>
      <c r="AE23" s="15">
        <f t="shared" si="11"/>
        <v>9.1830921157844237E-5</v>
      </c>
      <c r="AF23" s="7">
        <f>AE23*$B$32</f>
        <v>2.295773028946106E-3</v>
      </c>
      <c r="AG23" s="7">
        <f t="shared" si="12"/>
        <v>2.2957730289461061E-4</v>
      </c>
      <c r="AI23" s="7"/>
    </row>
    <row r="24" spans="1:35">
      <c r="A24" s="1" t="s">
        <v>0</v>
      </c>
      <c r="B24" s="1" t="s">
        <v>1</v>
      </c>
      <c r="C24" s="1" t="s">
        <v>2</v>
      </c>
      <c r="D24" s="1" t="s">
        <v>3</v>
      </c>
      <c r="I24" t="s">
        <v>57</v>
      </c>
      <c r="J24">
        <f>J23</f>
        <v>2</v>
      </c>
      <c r="K24">
        <f t="shared" ref="K24:M24" si="40">K23</f>
        <v>7</v>
      </c>
      <c r="L24">
        <f t="shared" si="40"/>
        <v>3</v>
      </c>
      <c r="M24">
        <f t="shared" si="40"/>
        <v>28</v>
      </c>
      <c r="N24">
        <f>F18-N23</f>
        <v>42</v>
      </c>
      <c r="O24">
        <f t="shared" si="15"/>
        <v>49392</v>
      </c>
      <c r="P24" s="7">
        <f t="shared" si="1"/>
        <v>6.4281644810490967E-4</v>
      </c>
      <c r="Q24" s="7">
        <f t="shared" si="2"/>
        <v>1.2856328962098193E-2</v>
      </c>
      <c r="R24" s="7">
        <f>Q24*C32</f>
        <v>6.4281644810490965E-2</v>
      </c>
      <c r="S24" s="7">
        <f t="shared" si="3"/>
        <v>6.4281644810490965E-3</v>
      </c>
      <c r="W24" t="s">
        <v>57</v>
      </c>
      <c r="X24">
        <f t="shared" ref="X24:X25" si="41">$B$3+$B$11</f>
        <v>2</v>
      </c>
      <c r="Y24">
        <f t="shared" ref="Y24:Y25" si="42">$C$3+$C$11</f>
        <v>7</v>
      </c>
      <c r="Z24">
        <f t="shared" si="8"/>
        <v>3</v>
      </c>
      <c r="AA24">
        <f>$E$3+$E$11</f>
        <v>28</v>
      </c>
      <c r="AB24">
        <f>$F$18-$F$3-$F$11</f>
        <v>42</v>
      </c>
      <c r="AC24">
        <f t="shared" si="10"/>
        <v>49392</v>
      </c>
      <c r="AD24" s="15">
        <f t="shared" si="4"/>
        <v>6.4281644810490967E-4</v>
      </c>
      <c r="AE24" s="15">
        <f t="shared" si="11"/>
        <v>6.4281644810490967E-4</v>
      </c>
      <c r="AF24" s="7">
        <f>AE24*$C$32</f>
        <v>3.2140822405245482E-3</v>
      </c>
      <c r="AG24" s="7">
        <f t="shared" si="12"/>
        <v>3.2140822405245484E-4</v>
      </c>
      <c r="AI24" s="7"/>
    </row>
    <row r="25" spans="1:35">
      <c r="A25" t="s">
        <v>4</v>
      </c>
      <c r="B25" s="2">
        <v>75</v>
      </c>
      <c r="C25" s="2">
        <v>25</v>
      </c>
      <c r="D25" s="2">
        <v>2</v>
      </c>
      <c r="I25" t="s">
        <v>58</v>
      </c>
      <c r="J25">
        <f>J23</f>
        <v>2</v>
      </c>
      <c r="K25">
        <f t="shared" ref="K25:L25" si="43">K23</f>
        <v>7</v>
      </c>
      <c r="L25">
        <f t="shared" si="43"/>
        <v>3</v>
      </c>
      <c r="M25">
        <f>E18-M23</f>
        <v>24</v>
      </c>
      <c r="N25">
        <f>F18</f>
        <v>48</v>
      </c>
      <c r="O25">
        <f t="shared" si="15"/>
        <v>48384</v>
      </c>
      <c r="P25" s="7">
        <f t="shared" si="1"/>
        <v>6.2969774508236042E-4</v>
      </c>
      <c r="Q25" s="7">
        <f t="shared" si="2"/>
        <v>1.2593954901647209E-2</v>
      </c>
      <c r="R25" s="7">
        <f>Q25*D32</f>
        <v>2.5187909803294418E-2</v>
      </c>
      <c r="S25" s="7">
        <f t="shared" si="3"/>
        <v>2.5187909803294417E-3</v>
      </c>
      <c r="W25" t="s">
        <v>58</v>
      </c>
      <c r="X25">
        <f t="shared" si="41"/>
        <v>2</v>
      </c>
      <c r="Y25">
        <f t="shared" si="42"/>
        <v>7</v>
      </c>
      <c r="Z25">
        <f t="shared" si="8"/>
        <v>3</v>
      </c>
      <c r="AA25">
        <f>$E$18-$E$3-$E$11</f>
        <v>24</v>
      </c>
      <c r="AB25">
        <f>$F$18</f>
        <v>48</v>
      </c>
      <c r="AC25">
        <f t="shared" si="10"/>
        <v>48384</v>
      </c>
      <c r="AD25" s="15">
        <f t="shared" si="4"/>
        <v>6.2969774508236042E-4</v>
      </c>
      <c r="AE25" s="15">
        <f t="shared" si="11"/>
        <v>6.2969774508236042E-4</v>
      </c>
      <c r="AF25" s="7">
        <f>AE25*$D$32</f>
        <v>1.2593954901647208E-3</v>
      </c>
      <c r="AG25" s="7">
        <f t="shared" si="12"/>
        <v>1.2593954901647208E-4</v>
      </c>
      <c r="AI25" s="7"/>
    </row>
    <row r="26" spans="1:35">
      <c r="A26" t="s">
        <v>5</v>
      </c>
      <c r="B26" s="2">
        <v>50</v>
      </c>
      <c r="C26" s="2">
        <v>12</v>
      </c>
      <c r="D26" s="2">
        <v>2</v>
      </c>
      <c r="I26" s="8" t="s">
        <v>59</v>
      </c>
      <c r="J26" s="8">
        <f>B3+B12</f>
        <v>2</v>
      </c>
      <c r="K26" s="8">
        <f>C3+C12</f>
        <v>7</v>
      </c>
      <c r="L26" s="8">
        <f>D3+D12</f>
        <v>3</v>
      </c>
      <c r="M26" s="8">
        <f>E3+E12</f>
        <v>32</v>
      </c>
      <c r="N26" s="8">
        <f>F3+F12</f>
        <v>6</v>
      </c>
      <c r="O26" s="8">
        <f t="shared" si="15"/>
        <v>8064</v>
      </c>
      <c r="P26" s="9">
        <f t="shared" si="1"/>
        <v>1.0494962418039341E-4</v>
      </c>
      <c r="Q26" s="9">
        <f t="shared" si="2"/>
        <v>2.0989924836078682E-3</v>
      </c>
      <c r="R26" s="9">
        <f>Q26*B33</f>
        <v>5.2474812090196707E-2</v>
      </c>
      <c r="S26" s="9">
        <f t="shared" si="3"/>
        <v>5.2474812090196705E-3</v>
      </c>
      <c r="W26" s="8" t="s">
        <v>59</v>
      </c>
      <c r="X26" s="8">
        <f>$B$3+$B$12</f>
        <v>2</v>
      </c>
      <c r="Y26" s="8">
        <f>$C$3+$C$12</f>
        <v>7</v>
      </c>
      <c r="Z26" s="8">
        <f t="shared" si="8"/>
        <v>3</v>
      </c>
      <c r="AA26" s="8">
        <f>$E$3+$E$12</f>
        <v>32</v>
      </c>
      <c r="AB26" s="8">
        <f>$F$3+$F$12</f>
        <v>6</v>
      </c>
      <c r="AC26" s="8">
        <f t="shared" si="10"/>
        <v>8064</v>
      </c>
      <c r="AD26" s="14">
        <f t="shared" si="4"/>
        <v>1.0494962418039341E-4</v>
      </c>
      <c r="AE26" s="15">
        <f t="shared" si="11"/>
        <v>1.0494962418039341E-4</v>
      </c>
      <c r="AF26" s="7">
        <f>AE26*$B$33</f>
        <v>2.6237406045098353E-3</v>
      </c>
      <c r="AG26" s="7">
        <f t="shared" si="12"/>
        <v>2.6237406045098353E-4</v>
      </c>
      <c r="AI26" s="7"/>
    </row>
    <row r="27" spans="1:35">
      <c r="A27" t="s">
        <v>6</v>
      </c>
      <c r="B27" s="2">
        <v>50</v>
      </c>
      <c r="C27" s="2">
        <v>12</v>
      </c>
      <c r="D27" s="2">
        <v>2</v>
      </c>
      <c r="I27" t="s">
        <v>60</v>
      </c>
      <c r="J27">
        <f>J26</f>
        <v>2</v>
      </c>
      <c r="K27">
        <f t="shared" ref="K27:M27" si="44">K26</f>
        <v>7</v>
      </c>
      <c r="L27">
        <f t="shared" si="44"/>
        <v>3</v>
      </c>
      <c r="M27">
        <f t="shared" si="44"/>
        <v>32</v>
      </c>
      <c r="N27">
        <f>F18-N26</f>
        <v>42</v>
      </c>
      <c r="O27">
        <f t="shared" si="15"/>
        <v>56448</v>
      </c>
      <c r="P27" s="7">
        <f t="shared" si="1"/>
        <v>7.3464736926275389E-4</v>
      </c>
      <c r="Q27" s="7">
        <f t="shared" si="2"/>
        <v>1.4692947385255077E-2</v>
      </c>
      <c r="R27" s="7">
        <f>Q27*C33</f>
        <v>7.3464736926275392E-2</v>
      </c>
      <c r="S27" s="7">
        <f t="shared" si="3"/>
        <v>7.3464736926275396E-3</v>
      </c>
      <c r="W27" t="s">
        <v>60</v>
      </c>
      <c r="X27">
        <f t="shared" ref="X27:X28" si="45">$B$3+$B$12</f>
        <v>2</v>
      </c>
      <c r="Y27">
        <f t="shared" ref="Y27:Y28" si="46">$C$3+$C$12</f>
        <v>7</v>
      </c>
      <c r="Z27">
        <f t="shared" si="8"/>
        <v>3</v>
      </c>
      <c r="AA27">
        <f>$E$3+$E$12</f>
        <v>32</v>
      </c>
      <c r="AB27">
        <f>$F$18-$F$3-$F$12</f>
        <v>42</v>
      </c>
      <c r="AC27">
        <f t="shared" si="10"/>
        <v>56448</v>
      </c>
      <c r="AD27" s="15">
        <f t="shared" si="4"/>
        <v>7.3464736926275389E-4</v>
      </c>
      <c r="AE27" s="15">
        <f t="shared" si="11"/>
        <v>7.3464736926275389E-4</v>
      </c>
      <c r="AF27" s="7">
        <f>AE27*$C$33</f>
        <v>3.6732368463137694E-3</v>
      </c>
      <c r="AG27" s="7">
        <f t="shared" si="12"/>
        <v>3.6732368463137695E-4</v>
      </c>
      <c r="AI27" s="7"/>
    </row>
    <row r="28" spans="1:35">
      <c r="A28" t="s">
        <v>7</v>
      </c>
      <c r="B28" s="2">
        <v>50</v>
      </c>
      <c r="C28" s="2">
        <v>12</v>
      </c>
      <c r="D28" s="2">
        <v>2</v>
      </c>
      <c r="I28" t="s">
        <v>61</v>
      </c>
      <c r="J28">
        <f>J26</f>
        <v>2</v>
      </c>
      <c r="K28">
        <f t="shared" ref="K28:L28" si="47">K26</f>
        <v>7</v>
      </c>
      <c r="L28">
        <f t="shared" si="47"/>
        <v>3</v>
      </c>
      <c r="M28">
        <f>E18-M26</f>
        <v>20</v>
      </c>
      <c r="N28">
        <f>F18</f>
        <v>48</v>
      </c>
      <c r="O28">
        <f t="shared" si="15"/>
        <v>40320</v>
      </c>
      <c r="P28" s="7">
        <f t="shared" si="1"/>
        <v>5.2474812090196705E-4</v>
      </c>
      <c r="Q28" s="7">
        <f t="shared" si="2"/>
        <v>1.0494962418039341E-2</v>
      </c>
      <c r="R28" s="7">
        <f>Q28*D33</f>
        <v>2.0989924836078682E-2</v>
      </c>
      <c r="S28" s="7">
        <f t="shared" si="3"/>
        <v>2.0989924836078682E-3</v>
      </c>
      <c r="W28" t="s">
        <v>61</v>
      </c>
      <c r="X28">
        <f t="shared" si="45"/>
        <v>2</v>
      </c>
      <c r="Y28">
        <f t="shared" si="46"/>
        <v>7</v>
      </c>
      <c r="Z28">
        <f t="shared" si="8"/>
        <v>3</v>
      </c>
      <c r="AA28">
        <f>$E$18-E3-$E$12</f>
        <v>20</v>
      </c>
      <c r="AB28">
        <f>$F$18</f>
        <v>48</v>
      </c>
      <c r="AC28">
        <f t="shared" si="10"/>
        <v>40320</v>
      </c>
      <c r="AD28" s="15">
        <f t="shared" si="4"/>
        <v>5.2474812090196705E-4</v>
      </c>
      <c r="AE28" s="15">
        <f t="shared" si="11"/>
        <v>5.2474812090196705E-4</v>
      </c>
      <c r="AF28" s="7">
        <f>AE28*$D$33</f>
        <v>1.0494962418039341E-3</v>
      </c>
      <c r="AG28" s="7">
        <f t="shared" si="12"/>
        <v>1.0494962418039341E-4</v>
      </c>
      <c r="AI28" s="7"/>
    </row>
    <row r="29" spans="1:35">
      <c r="A29" t="s">
        <v>8</v>
      </c>
      <c r="B29" s="2">
        <v>40</v>
      </c>
      <c r="C29" s="2">
        <v>7</v>
      </c>
      <c r="D29" s="2">
        <v>2</v>
      </c>
      <c r="P29" s="7">
        <f>SUM(P2:P28)</f>
        <v>2.2219334719334721E-2</v>
      </c>
      <c r="Q29" s="7">
        <f t="shared" ref="Q29:S29" si="48">SUM(Q2:Q28)</f>
        <v>0.44438669438669437</v>
      </c>
      <c r="R29" s="7">
        <f t="shared" si="48"/>
        <v>3.1930485866783935</v>
      </c>
      <c r="S29" s="7">
        <f t="shared" si="48"/>
        <v>0.31930485866783936</v>
      </c>
      <c r="AD29" s="7">
        <f>SUM(AD2:AD28)</f>
        <v>1.2863825363825365E-2</v>
      </c>
      <c r="AE29" s="7">
        <f t="shared" ref="AE29:AG29" si="49">SUM(AE2:AE28)</f>
        <v>1.2863825363825365E-2</v>
      </c>
      <c r="AF29" s="7">
        <f t="shared" si="49"/>
        <v>8.805179763713418E-2</v>
      </c>
      <c r="AG29" s="7">
        <f t="shared" si="49"/>
        <v>8.8051797637134152E-3</v>
      </c>
      <c r="AH29" s="7"/>
      <c r="AI29" s="7"/>
    </row>
    <row r="30" spans="1:35">
      <c r="A30" t="s">
        <v>9</v>
      </c>
      <c r="B30" s="2">
        <v>25</v>
      </c>
      <c r="C30" s="2">
        <v>5</v>
      </c>
      <c r="D30" s="2">
        <v>2</v>
      </c>
      <c r="P30" s="7"/>
      <c r="Q30" s="7"/>
      <c r="R30" s="7"/>
      <c r="S30" s="7"/>
    </row>
    <row r="31" spans="1:35">
      <c r="A31" t="s">
        <v>10</v>
      </c>
      <c r="B31" s="2">
        <v>25</v>
      </c>
      <c r="C31" s="2">
        <v>5</v>
      </c>
      <c r="D31" s="2">
        <v>2</v>
      </c>
    </row>
    <row r="32" spans="1:35">
      <c r="A32" t="s">
        <v>11</v>
      </c>
      <c r="B32" s="2">
        <v>25</v>
      </c>
      <c r="C32" s="2">
        <v>5</v>
      </c>
      <c r="D32" s="2">
        <v>2</v>
      </c>
      <c r="I32" s="3" t="s">
        <v>84</v>
      </c>
      <c r="J32" s="3" t="s">
        <v>24</v>
      </c>
      <c r="K32" s="3" t="s">
        <v>25</v>
      </c>
      <c r="L32" s="3" t="s">
        <v>26</v>
      </c>
      <c r="M32" s="3" t="s">
        <v>27</v>
      </c>
      <c r="N32" s="3" t="s">
        <v>28</v>
      </c>
      <c r="O32" s="3" t="s">
        <v>31</v>
      </c>
      <c r="P32" s="3" t="s">
        <v>62</v>
      </c>
      <c r="Q32" s="3" t="s">
        <v>63</v>
      </c>
      <c r="R32" s="3" t="s">
        <v>32</v>
      </c>
      <c r="S32" s="3" t="s">
        <v>35</v>
      </c>
      <c r="W32" s="3" t="s">
        <v>87</v>
      </c>
      <c r="X32" s="3" t="s">
        <v>24</v>
      </c>
      <c r="Y32" s="3" t="s">
        <v>25</v>
      </c>
      <c r="Z32" s="3" t="s">
        <v>26</v>
      </c>
      <c r="AA32" s="3" t="s">
        <v>27</v>
      </c>
      <c r="AB32" s="3" t="s">
        <v>28</v>
      </c>
      <c r="AC32" s="3" t="s">
        <v>31</v>
      </c>
      <c r="AD32" s="3" t="s">
        <v>62</v>
      </c>
      <c r="AE32" s="3" t="s">
        <v>63</v>
      </c>
      <c r="AF32" s="3" t="s">
        <v>32</v>
      </c>
      <c r="AG32" s="3" t="s">
        <v>35</v>
      </c>
    </row>
    <row r="33" spans="1:33">
      <c r="A33" t="s">
        <v>12</v>
      </c>
      <c r="B33" s="2">
        <v>25</v>
      </c>
      <c r="C33" s="2">
        <v>5</v>
      </c>
      <c r="D33" s="2">
        <v>2</v>
      </c>
      <c r="I33" t="s">
        <v>85</v>
      </c>
      <c r="J33">
        <f>$B$18</f>
        <v>32</v>
      </c>
      <c r="K33">
        <f>$C$13*3</f>
        <v>12</v>
      </c>
      <c r="L33">
        <f>$D$13*3</f>
        <v>0</v>
      </c>
      <c r="M33">
        <f>$E$13*3</f>
        <v>12</v>
      </c>
      <c r="N33">
        <f>$F$18</f>
        <v>48</v>
      </c>
      <c r="O33">
        <f>PRODUCT(J33:N33)</f>
        <v>0</v>
      </c>
      <c r="P33" s="10">
        <f>O33/$B$19</f>
        <v>0</v>
      </c>
      <c r="Q33" s="10">
        <f>P33</f>
        <v>0</v>
      </c>
      <c r="R33" s="10">
        <f>Q33*D34</f>
        <v>0</v>
      </c>
      <c r="S33" s="10">
        <f>R33</f>
        <v>0</v>
      </c>
      <c r="W33" t="s">
        <v>86</v>
      </c>
      <c r="X33">
        <f>$B$18</f>
        <v>32</v>
      </c>
      <c r="Y33">
        <f>$C$13*3</f>
        <v>12</v>
      </c>
      <c r="Z33">
        <f>$D$14*3</f>
        <v>9</v>
      </c>
      <c r="AA33">
        <f>$E$13*3</f>
        <v>12</v>
      </c>
      <c r="AB33">
        <f>$F$18</f>
        <v>48</v>
      </c>
      <c r="AC33">
        <f>PRODUCT(X33:AB33)</f>
        <v>1990656</v>
      </c>
      <c r="AD33" s="10">
        <f>AC33/$B$19</f>
        <v>2.5907564369102829E-2</v>
      </c>
      <c r="AE33" s="10">
        <f>AD33</f>
        <v>2.5907564369102829E-2</v>
      </c>
      <c r="AF33" s="10">
        <f>AE33*$D$34</f>
        <v>2.5907564369102829E-2</v>
      </c>
      <c r="AG33" s="10">
        <f>AF33</f>
        <v>2.5907564369102829E-2</v>
      </c>
    </row>
    <row r="34" spans="1:33">
      <c r="A34" t="s">
        <v>20</v>
      </c>
      <c r="B34" s="2">
        <v>50</v>
      </c>
      <c r="C34" s="2">
        <v>5</v>
      </c>
      <c r="D34" s="2">
        <v>1</v>
      </c>
    </row>
    <row r="36" spans="1:33">
      <c r="I36" s="8" t="s">
        <v>99</v>
      </c>
      <c r="J36" s="8"/>
      <c r="K36" s="8"/>
      <c r="L36" s="8"/>
      <c r="M36" s="8"/>
      <c r="N36" s="8"/>
      <c r="O36" s="8"/>
      <c r="P36" s="8"/>
      <c r="Q36" s="8"/>
      <c r="R36" s="8"/>
      <c r="S36" s="21">
        <f>S29+S33</f>
        <v>0.31930485866783936</v>
      </c>
      <c r="T36" s="8"/>
      <c r="U36" s="8"/>
      <c r="V36" s="8"/>
      <c r="W36" s="22" t="s">
        <v>100</v>
      </c>
      <c r="X36" s="8"/>
      <c r="Y36" s="8"/>
      <c r="Z36" s="8"/>
      <c r="AA36" s="8"/>
      <c r="AB36" s="8"/>
      <c r="AC36" s="8"/>
      <c r="AD36" s="8"/>
      <c r="AE36" s="8"/>
      <c r="AF36" s="8"/>
      <c r="AG36" s="22">
        <f>AG29+AG33</f>
        <v>3.4712744132816248E-2</v>
      </c>
    </row>
    <row r="37" spans="1:33">
      <c r="A37" s="3" t="s">
        <v>89</v>
      </c>
      <c r="B37" s="3"/>
    </row>
    <row r="38" spans="1:33">
      <c r="A38" s="3" t="s">
        <v>90</v>
      </c>
      <c r="B38" s="3" t="s">
        <v>23</v>
      </c>
      <c r="I38" s="55" t="s">
        <v>96</v>
      </c>
      <c r="J38" s="55"/>
      <c r="K38" t="s">
        <v>80</v>
      </c>
      <c r="L38" t="s">
        <v>67</v>
      </c>
      <c r="AG38" s="10"/>
    </row>
    <row r="39" spans="1:33">
      <c r="A39" t="s">
        <v>91</v>
      </c>
      <c r="B39">
        <v>1250</v>
      </c>
      <c r="I39" t="s">
        <v>98</v>
      </c>
      <c r="J39" s="19"/>
      <c r="K39">
        <v>0.75</v>
      </c>
      <c r="L39">
        <f>$K$39*$AG$29</f>
        <v>6.6038848227850614E-3</v>
      </c>
      <c r="X39" s="19"/>
      <c r="AG39" s="10"/>
    </row>
    <row r="40" spans="1:33">
      <c r="A40" t="s">
        <v>92</v>
      </c>
      <c r="B40">
        <v>125</v>
      </c>
      <c r="I40" t="s">
        <v>97</v>
      </c>
      <c r="K40">
        <v>0.75</v>
      </c>
      <c r="L40">
        <f>$K$40*$AG$33</f>
        <v>1.9430673276827123E-2</v>
      </c>
      <c r="S40" s="18"/>
    </row>
    <row r="41" spans="1:33">
      <c r="A41" t="s">
        <v>93</v>
      </c>
      <c r="B41">
        <v>25</v>
      </c>
      <c r="L41">
        <f>SUM(L39:L40)</f>
        <v>2.6034558099612186E-2</v>
      </c>
      <c r="S41" s="18"/>
    </row>
    <row r="42" spans="1:33">
      <c r="A42" t="s">
        <v>94</v>
      </c>
      <c r="B42">
        <v>10</v>
      </c>
      <c r="I42" s="8" t="s">
        <v>101</v>
      </c>
      <c r="J42" s="8"/>
      <c r="K42" s="8"/>
      <c r="L42" s="8"/>
      <c r="M42" s="8"/>
      <c r="N42" s="8"/>
      <c r="O42" s="8"/>
      <c r="P42" s="8"/>
      <c r="Q42" s="8"/>
      <c r="R42" s="8"/>
      <c r="S42" s="21">
        <f>S36+L41</f>
        <v>0.34533941676745156</v>
      </c>
    </row>
    <row r="43" spans="1:33">
      <c r="A43" t="s">
        <v>95</v>
      </c>
      <c r="B43">
        <v>5</v>
      </c>
      <c r="S43" s="18"/>
    </row>
    <row r="45" spans="1:33">
      <c r="X45">
        <v>32</v>
      </c>
      <c r="Y45">
        <v>12</v>
      </c>
      <c r="Z45">
        <f>D18</f>
        <v>26</v>
      </c>
      <c r="AA45">
        <v>12</v>
      </c>
      <c r="AB45">
        <f>F18</f>
        <v>48</v>
      </c>
      <c r="AC45">
        <f>PRODUCT(X45:AB45)</f>
        <v>5750784</v>
      </c>
      <c r="AD45">
        <f>AC45/B19</f>
        <v>7.4844074844074848E-2</v>
      </c>
    </row>
    <row r="46" spans="1:33">
      <c r="A46" t="s">
        <v>105</v>
      </c>
    </row>
    <row r="47" spans="1:33">
      <c r="A47">
        <v>10</v>
      </c>
      <c r="J47" t="s">
        <v>104</v>
      </c>
      <c r="AD47" s="7"/>
    </row>
    <row r="48" spans="1:33">
      <c r="K48" s="7">
        <f>1-AE29</f>
        <v>0.98713617463617465</v>
      </c>
      <c r="L48">
        <v>1</v>
      </c>
      <c r="M48">
        <f>K48*L48</f>
        <v>0.98713617463617465</v>
      </c>
    </row>
    <row r="49" spans="10:32">
      <c r="J49" t="s">
        <v>103</v>
      </c>
    </row>
    <row r="52" spans="10:32">
      <c r="J52" s="20"/>
    </row>
    <row r="54" spans="10:32">
      <c r="J54" t="s">
        <v>102</v>
      </c>
      <c r="Q54" t="s">
        <v>80</v>
      </c>
    </row>
    <row r="55" spans="10:32">
      <c r="J55" t="s">
        <v>106</v>
      </c>
      <c r="K55">
        <f>$B$18</f>
        <v>32</v>
      </c>
      <c r="L55">
        <f>$C$18</f>
        <v>37</v>
      </c>
      <c r="M55">
        <f>D14*3</f>
        <v>9</v>
      </c>
      <c r="N55">
        <f>$E$18</f>
        <v>52</v>
      </c>
      <c r="O55">
        <f>$F$18</f>
        <v>48</v>
      </c>
      <c r="P55">
        <f>PRODUCT(K55:O55)</f>
        <v>26597376</v>
      </c>
      <c r="Q55" s="23">
        <f>P55/B19</f>
        <v>0.34615384615384615</v>
      </c>
      <c r="S55">
        <f>Q55*AE33</f>
        <v>8.9680030508432866E-3</v>
      </c>
      <c r="W55" s="10">
        <f>Q55-AE33</f>
        <v>0.32024628178474329</v>
      </c>
      <c r="X55">
        <f>W55*A47</f>
        <v>3.202462817847433</v>
      </c>
    </row>
    <row r="56" spans="10:32">
      <c r="J56" t="s">
        <v>107</v>
      </c>
      <c r="W56" s="7">
        <f>Q55-AE29</f>
        <v>0.33329002079002079</v>
      </c>
      <c r="X56">
        <f>W56*A47</f>
        <v>3.3329002079002077</v>
      </c>
    </row>
    <row r="57" spans="10:32">
      <c r="Q57" s="20" t="s">
        <v>108</v>
      </c>
    </row>
    <row r="59" spans="10:32">
      <c r="J59" s="20"/>
      <c r="X59">
        <f>X56*2</f>
        <v>6.6658004158004154</v>
      </c>
    </row>
    <row r="60" spans="10:32">
      <c r="AE60" s="7">
        <f>1-AE29</f>
        <v>0.98713617463617465</v>
      </c>
    </row>
    <row r="61" spans="10:32">
      <c r="S61" s="18">
        <f>S36+AG33</f>
        <v>0.34521242303694222</v>
      </c>
      <c r="AF61" s="7">
        <f>AE60-Q55</f>
        <v>0.6409823284823285</v>
      </c>
    </row>
  </sheetData>
  <mergeCells count="3">
    <mergeCell ref="A1:F1"/>
    <mergeCell ref="B19:F19"/>
    <mergeCell ref="I38:J3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DD624-4D30-40A6-A63C-DEEB56C75932}">
  <dimension ref="A1:AI65"/>
  <sheetViews>
    <sheetView zoomScale="90" zoomScaleNormal="90" workbookViewId="0">
      <selection activeCell="I45" sqref="I45:S46"/>
    </sheetView>
  </sheetViews>
  <sheetFormatPr defaultRowHeight="14.5"/>
  <cols>
    <col min="2" max="2" width="9.453125" bestFit="1" customWidth="1"/>
    <col min="10" max="10" width="21.1796875" bestFit="1" customWidth="1"/>
    <col min="12" max="12" width="14.54296875" customWidth="1"/>
    <col min="16" max="17" width="10.81640625" bestFit="1" customWidth="1"/>
    <col min="18" max="18" width="10.26953125" customWidth="1"/>
    <col min="19" max="19" width="20.1796875" bestFit="1" customWidth="1"/>
    <col min="23" max="23" width="16.7265625" customWidth="1"/>
    <col min="24" max="24" width="21.08984375" bestFit="1" customWidth="1"/>
    <col min="30" max="30" width="13.08984375" customWidth="1"/>
    <col min="31" max="31" width="12.81640625" customWidth="1"/>
    <col min="32" max="32" width="14.90625" customWidth="1"/>
    <col min="33" max="33" width="14" customWidth="1"/>
    <col min="35" max="35" width="9.90625" bestFit="1" customWidth="1"/>
  </cols>
  <sheetData>
    <row r="1" spans="1:35">
      <c r="A1" s="53" t="s">
        <v>13</v>
      </c>
      <c r="B1" s="53" t="s">
        <v>13</v>
      </c>
      <c r="C1" s="53" t="s">
        <v>13</v>
      </c>
      <c r="D1" s="53" t="s">
        <v>13</v>
      </c>
      <c r="E1" s="53" t="s">
        <v>13</v>
      </c>
      <c r="F1" s="53" t="s">
        <v>13</v>
      </c>
      <c r="I1" s="3" t="s">
        <v>23</v>
      </c>
      <c r="J1" s="3" t="s">
        <v>24</v>
      </c>
      <c r="K1" s="3" t="s">
        <v>25</v>
      </c>
      <c r="L1" s="3" t="s">
        <v>26</v>
      </c>
      <c r="M1" s="3" t="s">
        <v>27</v>
      </c>
      <c r="N1" s="3" t="s">
        <v>28</v>
      </c>
      <c r="O1" s="3" t="s">
        <v>31</v>
      </c>
      <c r="P1" s="3" t="s">
        <v>62</v>
      </c>
      <c r="Q1" s="3" t="s">
        <v>63</v>
      </c>
      <c r="R1" s="3" t="s">
        <v>32</v>
      </c>
      <c r="S1" s="3" t="s">
        <v>35</v>
      </c>
      <c r="W1" s="3" t="s">
        <v>83</v>
      </c>
      <c r="X1" s="3" t="s">
        <v>24</v>
      </c>
      <c r="Y1" s="3" t="s">
        <v>25</v>
      </c>
      <c r="Z1" s="3" t="s">
        <v>26</v>
      </c>
      <c r="AA1" s="3" t="s">
        <v>27</v>
      </c>
      <c r="AB1" s="3" t="s">
        <v>28</v>
      </c>
      <c r="AC1" s="3" t="s">
        <v>31</v>
      </c>
      <c r="AD1" s="3" t="s">
        <v>62</v>
      </c>
      <c r="AE1" s="3" t="s">
        <v>63</v>
      </c>
      <c r="AF1" s="3" t="s">
        <v>32</v>
      </c>
      <c r="AG1" s="3" t="s">
        <v>35</v>
      </c>
    </row>
    <row r="2" spans="1:35">
      <c r="A2" s="1" t="s">
        <v>0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I2" s="12" t="s">
        <v>29</v>
      </c>
      <c r="J2" s="8">
        <f>B3+B4</f>
        <v>2</v>
      </c>
      <c r="K2" s="8">
        <f t="shared" ref="K2:N2" si="0">C3+C4</f>
        <v>1</v>
      </c>
      <c r="L2" s="8">
        <f t="shared" si="0"/>
        <v>6</v>
      </c>
      <c r="M2" s="8">
        <f t="shared" si="0"/>
        <v>32</v>
      </c>
      <c r="N2" s="8">
        <f t="shared" si="0"/>
        <v>3</v>
      </c>
      <c r="O2" s="8">
        <f>PRODUCT(J2:N2)</f>
        <v>1152</v>
      </c>
      <c r="P2" s="9">
        <f t="shared" ref="P2:P28" si="1">O2/$B$19</f>
        <v>1.7718767718767717E-5</v>
      </c>
      <c r="Q2" s="9">
        <f t="shared" ref="Q2:Q28" si="2">P2*$A$22</f>
        <v>3.5437535437535435E-4</v>
      </c>
      <c r="R2" s="9">
        <f>Q2*B25</f>
        <v>2.6578151578151576E-2</v>
      </c>
      <c r="S2" s="9">
        <f t="shared" ref="S2:S28" si="3">R2/$B$22</f>
        <v>2.6578151578151576E-3</v>
      </c>
      <c r="W2" s="12" t="s">
        <v>29</v>
      </c>
      <c r="X2" s="8">
        <f>$B$3+$B$4</f>
        <v>2</v>
      </c>
      <c r="Y2" s="8">
        <f>$C$3+$C$4</f>
        <v>1</v>
      </c>
      <c r="Z2" s="8">
        <f>$D$14</f>
        <v>2</v>
      </c>
      <c r="AA2" s="8">
        <f>$E$3+$E$4</f>
        <v>32</v>
      </c>
      <c r="AB2" s="8">
        <f>$F$3+$F$4</f>
        <v>3</v>
      </c>
      <c r="AC2" s="8">
        <f>PRODUCT(X2:AB2)</f>
        <v>384</v>
      </c>
      <c r="AD2" s="14">
        <f>AC2/$B$19</f>
        <v>5.906255906255906E-6</v>
      </c>
      <c r="AE2" s="15">
        <f>AD2*20</f>
        <v>1.1812511812511812E-4</v>
      </c>
      <c r="AF2" s="7">
        <f>AE2*B25</f>
        <v>8.8593838593838594E-3</v>
      </c>
      <c r="AG2" s="7">
        <f>AF2/$B$22</f>
        <v>8.8593838593838592E-4</v>
      </c>
      <c r="AI2" s="10"/>
    </row>
    <row r="3" spans="1:35">
      <c r="A3" t="s">
        <v>19</v>
      </c>
      <c r="B3">
        <v>0</v>
      </c>
      <c r="C3">
        <v>1</v>
      </c>
      <c r="D3">
        <v>0</v>
      </c>
      <c r="E3">
        <v>28</v>
      </c>
      <c r="F3">
        <v>0</v>
      </c>
      <c r="I3" t="s">
        <v>36</v>
      </c>
      <c r="J3">
        <f>J2</f>
        <v>2</v>
      </c>
      <c r="K3">
        <f t="shared" ref="K3:M3" si="4">K2</f>
        <v>1</v>
      </c>
      <c r="L3">
        <f t="shared" si="4"/>
        <v>6</v>
      </c>
      <c r="M3">
        <f t="shared" si="4"/>
        <v>32</v>
      </c>
      <c r="N3">
        <f>F18-N2</f>
        <v>45</v>
      </c>
      <c r="O3">
        <f>PRODUCT(J3:N3)</f>
        <v>17280</v>
      </c>
      <c r="P3" s="7">
        <f t="shared" si="1"/>
        <v>2.6578151578151579E-4</v>
      </c>
      <c r="Q3" s="7">
        <f t="shared" si="2"/>
        <v>5.3156303156303153E-3</v>
      </c>
      <c r="R3" s="7">
        <f>Q3*C25</f>
        <v>0.13289075789075788</v>
      </c>
      <c r="S3" s="7">
        <f t="shared" si="3"/>
        <v>1.3289075789075788E-2</v>
      </c>
      <c r="W3" t="s">
        <v>36</v>
      </c>
      <c r="X3">
        <f t="shared" ref="X3:X4" si="5">$B$3+$B$4</f>
        <v>2</v>
      </c>
      <c r="Y3">
        <f t="shared" ref="Y3:Y4" si="6">$C$3+$C$4</f>
        <v>1</v>
      </c>
      <c r="Z3">
        <f t="shared" ref="Z3:Z28" si="7">$D$14</f>
        <v>2</v>
      </c>
      <c r="AA3">
        <f t="shared" ref="AA3" si="8">$E$3+$E$4</f>
        <v>32</v>
      </c>
      <c r="AB3">
        <f>$F$18-$F$3-$F$4</f>
        <v>45</v>
      </c>
      <c r="AC3">
        <f t="shared" ref="AC3:AC28" si="9">PRODUCT(X3:AB3)</f>
        <v>5760</v>
      </c>
      <c r="AD3" s="14">
        <f t="shared" ref="AD3:AD28" si="10">AC3/$B$19</f>
        <v>8.85938385938386E-5</v>
      </c>
      <c r="AE3" s="15">
        <f t="shared" ref="AE3:AE28" si="11">AD3*20</f>
        <v>1.7718767718767721E-3</v>
      </c>
      <c r="AF3" s="7">
        <f>AE3*C25</f>
        <v>4.4296919296919299E-2</v>
      </c>
      <c r="AG3" s="7">
        <f t="shared" ref="AG3:AG28" si="12">AF3/$B$22</f>
        <v>4.4296919296919297E-3</v>
      </c>
      <c r="AI3" s="7"/>
    </row>
    <row r="4" spans="1:35">
      <c r="A4" s="17" t="s">
        <v>4</v>
      </c>
      <c r="B4" s="17">
        <v>2</v>
      </c>
      <c r="C4" s="17">
        <v>0</v>
      </c>
      <c r="D4" s="17">
        <v>6</v>
      </c>
      <c r="E4" s="17">
        <v>4</v>
      </c>
      <c r="F4" s="17">
        <v>3</v>
      </c>
      <c r="I4" t="s">
        <v>37</v>
      </c>
      <c r="J4">
        <f>J2</f>
        <v>2</v>
      </c>
      <c r="K4">
        <f t="shared" ref="K4:L4" si="13">K2</f>
        <v>1</v>
      </c>
      <c r="L4">
        <f t="shared" si="13"/>
        <v>6</v>
      </c>
      <c r="M4">
        <f>E18-M2</f>
        <v>20</v>
      </c>
      <c r="N4">
        <v>48</v>
      </c>
      <c r="O4">
        <f>PRODUCT(J4:N4)</f>
        <v>11520</v>
      </c>
      <c r="P4" s="7">
        <f t="shared" si="1"/>
        <v>1.771876771876772E-4</v>
      </c>
      <c r="Q4" s="7">
        <f t="shared" si="2"/>
        <v>3.5437535437535441E-3</v>
      </c>
      <c r="R4" s="7">
        <f>Q4*D25</f>
        <v>7.0875070875070882E-3</v>
      </c>
      <c r="S4" s="7">
        <f t="shared" si="3"/>
        <v>7.087507087507088E-4</v>
      </c>
      <c r="W4" t="s">
        <v>37</v>
      </c>
      <c r="X4">
        <f t="shared" si="5"/>
        <v>2</v>
      </c>
      <c r="Y4">
        <f t="shared" si="6"/>
        <v>1</v>
      </c>
      <c r="Z4">
        <f t="shared" si="7"/>
        <v>2</v>
      </c>
      <c r="AA4">
        <f>$E$18-$E$3-$E$4</f>
        <v>20</v>
      </c>
      <c r="AB4">
        <f>$F$18</f>
        <v>48</v>
      </c>
      <c r="AC4">
        <f t="shared" si="9"/>
        <v>3840</v>
      </c>
      <c r="AD4" s="14">
        <f t="shared" si="10"/>
        <v>5.9062559062559062E-5</v>
      </c>
      <c r="AE4" s="15">
        <f t="shared" si="11"/>
        <v>1.1812511812511813E-3</v>
      </c>
      <c r="AF4" s="7">
        <f>AE4*D25</f>
        <v>2.3625023625023626E-3</v>
      </c>
      <c r="AG4" s="7">
        <f t="shared" si="12"/>
        <v>2.3625023625023625E-4</v>
      </c>
      <c r="AI4" s="7"/>
    </row>
    <row r="5" spans="1:35">
      <c r="A5" t="s">
        <v>5</v>
      </c>
      <c r="B5">
        <v>3</v>
      </c>
      <c r="C5">
        <v>0</v>
      </c>
      <c r="D5">
        <v>4</v>
      </c>
      <c r="E5">
        <v>4</v>
      </c>
      <c r="F5">
        <v>4</v>
      </c>
      <c r="I5" s="12" t="s">
        <v>38</v>
      </c>
      <c r="J5" s="8">
        <f>B3+B5</f>
        <v>3</v>
      </c>
      <c r="K5" s="8">
        <f t="shared" ref="K5:N5" si="14">C3+C5</f>
        <v>1</v>
      </c>
      <c r="L5" s="8">
        <f t="shared" si="14"/>
        <v>4</v>
      </c>
      <c r="M5" s="8">
        <f t="shared" si="14"/>
        <v>32</v>
      </c>
      <c r="N5" s="8">
        <f t="shared" si="14"/>
        <v>4</v>
      </c>
      <c r="O5" s="8">
        <f t="shared" ref="O5:O28" si="15">PRODUCT(J5:N5)</f>
        <v>1536</v>
      </c>
      <c r="P5" s="9">
        <f t="shared" si="1"/>
        <v>2.3625023625023624E-5</v>
      </c>
      <c r="Q5" s="9">
        <f t="shared" si="2"/>
        <v>4.725004725004725E-4</v>
      </c>
      <c r="R5" s="9">
        <f>Q5*B26</f>
        <v>2.3625023625023625E-2</v>
      </c>
      <c r="S5" s="9">
        <f t="shared" si="3"/>
        <v>2.3625023625023626E-3</v>
      </c>
      <c r="W5" s="12" t="s">
        <v>38</v>
      </c>
      <c r="X5" s="8">
        <f>$B$3+$B$5</f>
        <v>3</v>
      </c>
      <c r="Y5" s="8">
        <f>$C$3+$C$5</f>
        <v>1</v>
      </c>
      <c r="Z5" s="8">
        <f t="shared" si="7"/>
        <v>2</v>
      </c>
      <c r="AA5" s="8">
        <f>$E$3+$E$5</f>
        <v>32</v>
      </c>
      <c r="AB5" s="8">
        <f>$F$3+$F$5</f>
        <v>4</v>
      </c>
      <c r="AC5" s="8">
        <f t="shared" si="9"/>
        <v>768</v>
      </c>
      <c r="AD5" s="14">
        <f t="shared" si="10"/>
        <v>1.1812511812511812E-5</v>
      </c>
      <c r="AE5" s="15">
        <f t="shared" si="11"/>
        <v>2.3625023625023625E-4</v>
      </c>
      <c r="AF5" s="7">
        <f>AE5*$B$26</f>
        <v>1.1812511812511813E-2</v>
      </c>
      <c r="AG5" s="7">
        <f t="shared" si="12"/>
        <v>1.1812511812511813E-3</v>
      </c>
      <c r="AI5" s="7"/>
    </row>
    <row r="6" spans="1:35">
      <c r="A6" s="17" t="s">
        <v>6</v>
      </c>
      <c r="B6" s="17">
        <v>3</v>
      </c>
      <c r="C6" s="17">
        <v>0</v>
      </c>
      <c r="D6" s="17">
        <v>0</v>
      </c>
      <c r="E6" s="17">
        <v>0</v>
      </c>
      <c r="F6" s="17">
        <v>6</v>
      </c>
      <c r="I6" t="s">
        <v>39</v>
      </c>
      <c r="J6">
        <f>J5</f>
        <v>3</v>
      </c>
      <c r="K6">
        <f t="shared" ref="K6:M6" si="16">K5</f>
        <v>1</v>
      </c>
      <c r="L6">
        <f t="shared" si="16"/>
        <v>4</v>
      </c>
      <c r="M6">
        <f t="shared" si="16"/>
        <v>32</v>
      </c>
      <c r="N6">
        <f>F18-N5</f>
        <v>44</v>
      </c>
      <c r="O6">
        <f t="shared" si="15"/>
        <v>16896</v>
      </c>
      <c r="P6" s="7">
        <f t="shared" si="1"/>
        <v>2.5987525987525989E-4</v>
      </c>
      <c r="Q6" s="7">
        <f t="shared" si="2"/>
        <v>5.1975051975051978E-3</v>
      </c>
      <c r="R6" s="7">
        <f>Q6*C26</f>
        <v>6.2370062370062374E-2</v>
      </c>
      <c r="S6" s="7">
        <f t="shared" si="3"/>
        <v>6.2370062370062374E-3</v>
      </c>
      <c r="W6" t="s">
        <v>39</v>
      </c>
      <c r="X6">
        <f t="shared" ref="X6:X7" si="17">$B$3+$B$5</f>
        <v>3</v>
      </c>
      <c r="Y6">
        <f t="shared" ref="Y6:Y7" si="18">$C$3+$C$5</f>
        <v>1</v>
      </c>
      <c r="Z6">
        <f t="shared" si="7"/>
        <v>2</v>
      </c>
      <c r="AA6">
        <f>$E$3+$E$5</f>
        <v>32</v>
      </c>
      <c r="AB6">
        <f>$F$18-$F$3-$F$5</f>
        <v>44</v>
      </c>
      <c r="AC6">
        <f t="shared" si="9"/>
        <v>8448</v>
      </c>
      <c r="AD6" s="14">
        <f t="shared" si="10"/>
        <v>1.2993762993762994E-4</v>
      </c>
      <c r="AE6" s="15">
        <f t="shared" si="11"/>
        <v>2.5987525987525989E-3</v>
      </c>
      <c r="AF6" s="7">
        <f>AE6*$C$26</f>
        <v>3.1185031185031187E-2</v>
      </c>
      <c r="AG6" s="7">
        <f t="shared" si="12"/>
        <v>3.1185031185031187E-3</v>
      </c>
      <c r="AI6" s="7"/>
    </row>
    <row r="7" spans="1:35">
      <c r="A7" t="s">
        <v>7</v>
      </c>
      <c r="B7">
        <v>2</v>
      </c>
      <c r="C7">
        <v>8</v>
      </c>
      <c r="D7">
        <v>2</v>
      </c>
      <c r="E7">
        <v>0</v>
      </c>
      <c r="F7">
        <v>6</v>
      </c>
      <c r="I7" t="s">
        <v>40</v>
      </c>
      <c r="J7">
        <f>J5</f>
        <v>3</v>
      </c>
      <c r="K7">
        <f t="shared" ref="K7:L7" si="19">K5</f>
        <v>1</v>
      </c>
      <c r="L7">
        <f t="shared" si="19"/>
        <v>4</v>
      </c>
      <c r="M7">
        <f>$E$18-$E$3-$E$5</f>
        <v>20</v>
      </c>
      <c r="N7">
        <f>F18</f>
        <v>48</v>
      </c>
      <c r="O7">
        <f t="shared" si="15"/>
        <v>11520</v>
      </c>
      <c r="P7" s="7">
        <f t="shared" si="1"/>
        <v>1.771876771876772E-4</v>
      </c>
      <c r="Q7" s="7">
        <f t="shared" si="2"/>
        <v>3.5437535437535441E-3</v>
      </c>
      <c r="R7" s="7">
        <f>Q7*D26</f>
        <v>7.0875070875070882E-3</v>
      </c>
      <c r="S7" s="7">
        <f t="shared" si="3"/>
        <v>7.087507087507088E-4</v>
      </c>
      <c r="W7" t="s">
        <v>40</v>
      </c>
      <c r="X7">
        <f t="shared" si="17"/>
        <v>3</v>
      </c>
      <c r="Y7">
        <f t="shared" si="18"/>
        <v>1</v>
      </c>
      <c r="Z7">
        <f t="shared" si="7"/>
        <v>2</v>
      </c>
      <c r="AA7">
        <f>$E$18-$E$3-$E$5</f>
        <v>20</v>
      </c>
      <c r="AB7">
        <f>$F$18</f>
        <v>48</v>
      </c>
      <c r="AC7">
        <f t="shared" si="9"/>
        <v>5760</v>
      </c>
      <c r="AD7" s="14">
        <f t="shared" si="10"/>
        <v>8.85938385938386E-5</v>
      </c>
      <c r="AE7" s="15">
        <f t="shared" si="11"/>
        <v>1.7718767718767721E-3</v>
      </c>
      <c r="AF7" s="7">
        <f>AE7*$D$26</f>
        <v>3.5437535437535441E-3</v>
      </c>
      <c r="AG7" s="7">
        <f t="shared" si="12"/>
        <v>3.543753543753544E-4</v>
      </c>
      <c r="AI7" s="7"/>
    </row>
    <row r="8" spans="1:35">
      <c r="A8" s="17" t="s">
        <v>8</v>
      </c>
      <c r="B8" s="17">
        <v>4</v>
      </c>
      <c r="C8" s="17">
        <v>8</v>
      </c>
      <c r="D8" s="17">
        <v>4</v>
      </c>
      <c r="E8" s="17">
        <v>6</v>
      </c>
      <c r="F8" s="17">
        <v>5</v>
      </c>
      <c r="I8" s="8" t="s">
        <v>41</v>
      </c>
      <c r="J8" s="8">
        <f>B3+B6</f>
        <v>3</v>
      </c>
      <c r="K8" s="8">
        <f t="shared" ref="K8:N8" si="20">C3+C6</f>
        <v>1</v>
      </c>
      <c r="L8" s="8">
        <f t="shared" si="20"/>
        <v>0</v>
      </c>
      <c r="M8" s="8">
        <f t="shared" si="20"/>
        <v>28</v>
      </c>
      <c r="N8" s="8">
        <f t="shared" si="20"/>
        <v>6</v>
      </c>
      <c r="O8" s="8">
        <f t="shared" si="15"/>
        <v>0</v>
      </c>
      <c r="P8" s="9">
        <f t="shared" si="1"/>
        <v>0</v>
      </c>
      <c r="Q8" s="9">
        <f t="shared" si="2"/>
        <v>0</v>
      </c>
      <c r="R8" s="9">
        <f>Q8*B27</f>
        <v>0</v>
      </c>
      <c r="S8" s="9">
        <f t="shared" si="3"/>
        <v>0</v>
      </c>
      <c r="W8" s="8" t="s">
        <v>41</v>
      </c>
      <c r="X8" s="8">
        <f>$B$3+$B$6</f>
        <v>3</v>
      </c>
      <c r="Y8" s="8">
        <f>$C$3+$C$6</f>
        <v>1</v>
      </c>
      <c r="Z8" s="8">
        <f t="shared" si="7"/>
        <v>2</v>
      </c>
      <c r="AA8" s="8">
        <f>$E$3+$E$6</f>
        <v>28</v>
      </c>
      <c r="AB8" s="8">
        <f>$F$3+$F$6</f>
        <v>6</v>
      </c>
      <c r="AC8" s="8">
        <f t="shared" si="9"/>
        <v>1008</v>
      </c>
      <c r="AD8" s="14">
        <f t="shared" si="10"/>
        <v>1.5503921753921753E-5</v>
      </c>
      <c r="AE8" s="15">
        <f t="shared" si="11"/>
        <v>3.1007843507843507E-4</v>
      </c>
      <c r="AF8" s="7">
        <f>AE8*$B$27</f>
        <v>1.5503921753921754E-2</v>
      </c>
      <c r="AG8" s="7">
        <f t="shared" si="12"/>
        <v>1.5503921753921754E-3</v>
      </c>
      <c r="AI8" s="7"/>
    </row>
    <row r="9" spans="1:35">
      <c r="A9" t="s">
        <v>9</v>
      </c>
      <c r="B9">
        <v>7</v>
      </c>
      <c r="C9">
        <v>2</v>
      </c>
      <c r="D9">
        <v>2</v>
      </c>
      <c r="E9">
        <v>0</v>
      </c>
      <c r="F9">
        <v>6</v>
      </c>
      <c r="I9" t="s">
        <v>42</v>
      </c>
      <c r="J9">
        <f>J8</f>
        <v>3</v>
      </c>
      <c r="K9">
        <f t="shared" ref="K9:M10" si="21">K8</f>
        <v>1</v>
      </c>
      <c r="L9">
        <f t="shared" si="21"/>
        <v>0</v>
      </c>
      <c r="M9">
        <f t="shared" si="21"/>
        <v>28</v>
      </c>
      <c r="N9">
        <f>F18-N8</f>
        <v>42</v>
      </c>
      <c r="O9">
        <f t="shared" si="15"/>
        <v>0</v>
      </c>
      <c r="P9" s="7">
        <f t="shared" si="1"/>
        <v>0</v>
      </c>
      <c r="Q9" s="7">
        <f t="shared" si="2"/>
        <v>0</v>
      </c>
      <c r="R9" s="7">
        <f>Q9*C27</f>
        <v>0</v>
      </c>
      <c r="S9" s="7">
        <f t="shared" si="3"/>
        <v>0</v>
      </c>
      <c r="W9" t="s">
        <v>42</v>
      </c>
      <c r="X9">
        <f t="shared" ref="X9:X10" si="22">$B$3+$B$6</f>
        <v>3</v>
      </c>
      <c r="Y9">
        <f t="shared" ref="Y9:Y10" si="23">$C$3+$C$6</f>
        <v>1</v>
      </c>
      <c r="Z9">
        <f t="shared" si="7"/>
        <v>2</v>
      </c>
      <c r="AA9">
        <f>$E$3+$E$6</f>
        <v>28</v>
      </c>
      <c r="AB9">
        <f>$F$18-$F$3-$F$6</f>
        <v>42</v>
      </c>
      <c r="AC9">
        <f t="shared" si="9"/>
        <v>7056</v>
      </c>
      <c r="AD9" s="14">
        <f t="shared" si="10"/>
        <v>1.0852745227745228E-4</v>
      </c>
      <c r="AE9" s="15">
        <f t="shared" si="11"/>
        <v>2.1705490455490454E-3</v>
      </c>
      <c r="AF9" s="7">
        <f>AE9*$C$27</f>
        <v>2.6046588546588544E-2</v>
      </c>
      <c r="AG9" s="7">
        <f t="shared" si="12"/>
        <v>2.6046588546588543E-3</v>
      </c>
      <c r="AI9" s="7"/>
    </row>
    <row r="10" spans="1:35">
      <c r="A10" s="17" t="s">
        <v>10</v>
      </c>
      <c r="B10" s="17">
        <v>7</v>
      </c>
      <c r="C10" s="17">
        <v>2</v>
      </c>
      <c r="D10" s="17">
        <v>2</v>
      </c>
      <c r="E10" s="17">
        <v>2</v>
      </c>
      <c r="F10" s="17">
        <v>6</v>
      </c>
      <c r="I10" t="s">
        <v>43</v>
      </c>
      <c r="J10">
        <f>J9</f>
        <v>3</v>
      </c>
      <c r="K10">
        <f t="shared" si="21"/>
        <v>1</v>
      </c>
      <c r="L10">
        <f t="shared" si="21"/>
        <v>0</v>
      </c>
      <c r="M10">
        <f>E18-M9</f>
        <v>24</v>
      </c>
      <c r="N10">
        <f>F18</f>
        <v>48</v>
      </c>
      <c r="O10">
        <f t="shared" si="15"/>
        <v>0</v>
      </c>
      <c r="P10" s="7">
        <f t="shared" si="1"/>
        <v>0</v>
      </c>
      <c r="Q10" s="7">
        <f t="shared" si="2"/>
        <v>0</v>
      </c>
      <c r="R10" s="7">
        <f>Q10*D27</f>
        <v>0</v>
      </c>
      <c r="S10" s="7">
        <f t="shared" si="3"/>
        <v>0</v>
      </c>
      <c r="W10" t="s">
        <v>43</v>
      </c>
      <c r="X10">
        <f t="shared" si="22"/>
        <v>3</v>
      </c>
      <c r="Y10">
        <f t="shared" si="23"/>
        <v>1</v>
      </c>
      <c r="Z10">
        <f t="shared" si="7"/>
        <v>2</v>
      </c>
      <c r="AA10">
        <f>$E$18-$E$3-$E$6</f>
        <v>24</v>
      </c>
      <c r="AB10">
        <f>$F$18</f>
        <v>48</v>
      </c>
      <c r="AC10">
        <f t="shared" si="9"/>
        <v>6912</v>
      </c>
      <c r="AD10" s="14">
        <f t="shared" si="10"/>
        <v>1.0631260631260632E-4</v>
      </c>
      <c r="AE10" s="15">
        <f t="shared" si="11"/>
        <v>2.1262521262521263E-3</v>
      </c>
      <c r="AF10" s="7">
        <f>AE10*D27</f>
        <v>4.2525042525042526E-3</v>
      </c>
      <c r="AG10" s="7">
        <f t="shared" si="12"/>
        <v>4.2525042525042527E-4</v>
      </c>
      <c r="AI10" s="7"/>
    </row>
    <row r="11" spans="1:35">
      <c r="A11" t="s">
        <v>11</v>
      </c>
      <c r="B11">
        <v>2</v>
      </c>
      <c r="C11">
        <v>6</v>
      </c>
      <c r="D11">
        <v>0</v>
      </c>
      <c r="E11">
        <v>0</v>
      </c>
      <c r="F11">
        <v>6</v>
      </c>
      <c r="I11" s="8" t="s">
        <v>44</v>
      </c>
      <c r="J11" s="8">
        <f>B3+B7</f>
        <v>2</v>
      </c>
      <c r="K11" s="8">
        <f t="shared" ref="K11:N11" si="24">C3+C7</f>
        <v>9</v>
      </c>
      <c r="L11" s="8">
        <f t="shared" si="24"/>
        <v>2</v>
      </c>
      <c r="M11" s="8">
        <f t="shared" si="24"/>
        <v>28</v>
      </c>
      <c r="N11" s="8">
        <f t="shared" si="24"/>
        <v>6</v>
      </c>
      <c r="O11" s="8">
        <f t="shared" si="15"/>
        <v>6048</v>
      </c>
      <c r="P11" s="9">
        <f t="shared" si="1"/>
        <v>9.3023530523530523E-5</v>
      </c>
      <c r="Q11" s="9">
        <f t="shared" si="2"/>
        <v>1.8604706104706104E-3</v>
      </c>
      <c r="R11" s="9">
        <f>Q11*B28</f>
        <v>9.3023530523530518E-2</v>
      </c>
      <c r="S11" s="9">
        <f t="shared" si="3"/>
        <v>9.3023530523530518E-3</v>
      </c>
      <c r="W11" s="8" t="s">
        <v>44</v>
      </c>
      <c r="X11" s="8">
        <f>$B$3+$B$7</f>
        <v>2</v>
      </c>
      <c r="Y11" s="8">
        <f>$C$3+$C$7</f>
        <v>9</v>
      </c>
      <c r="Z11" s="8">
        <f t="shared" si="7"/>
        <v>2</v>
      </c>
      <c r="AA11" s="8">
        <f>$E$3+$E$7</f>
        <v>28</v>
      </c>
      <c r="AB11" s="8">
        <f>$F$3+$F$7</f>
        <v>6</v>
      </c>
      <c r="AC11" s="8">
        <f t="shared" si="9"/>
        <v>6048</v>
      </c>
      <c r="AD11" s="14">
        <f t="shared" si="10"/>
        <v>9.3023530523530523E-5</v>
      </c>
      <c r="AE11" s="15">
        <f t="shared" si="11"/>
        <v>1.8604706104706104E-3</v>
      </c>
      <c r="AF11" s="7">
        <f>AE11*B28</f>
        <v>9.3023530523530518E-2</v>
      </c>
      <c r="AG11" s="7">
        <f t="shared" si="12"/>
        <v>9.3023530523530518E-3</v>
      </c>
      <c r="AI11" s="7"/>
    </row>
    <row r="12" spans="1:35">
      <c r="A12" s="17" t="s">
        <v>12</v>
      </c>
      <c r="B12" s="17">
        <v>2</v>
      </c>
      <c r="C12" s="17">
        <v>6</v>
      </c>
      <c r="D12" s="17">
        <v>0</v>
      </c>
      <c r="E12" s="17">
        <v>4</v>
      </c>
      <c r="F12" s="17">
        <v>6</v>
      </c>
      <c r="I12" t="s">
        <v>45</v>
      </c>
      <c r="J12">
        <f>J11</f>
        <v>2</v>
      </c>
      <c r="K12">
        <f t="shared" ref="K12:M13" si="25">K11</f>
        <v>9</v>
      </c>
      <c r="L12">
        <f t="shared" si="25"/>
        <v>2</v>
      </c>
      <c r="M12">
        <f t="shared" si="25"/>
        <v>28</v>
      </c>
      <c r="N12">
        <f>F18-N11</f>
        <v>42</v>
      </c>
      <c r="O12">
        <f t="shared" si="15"/>
        <v>42336</v>
      </c>
      <c r="P12" s="7">
        <f t="shared" si="1"/>
        <v>6.5116471366471367E-4</v>
      </c>
      <c r="Q12" s="7">
        <f t="shared" si="2"/>
        <v>1.3023294273294274E-2</v>
      </c>
      <c r="R12" s="7">
        <f>Q12*C28</f>
        <v>0.15627953127953129</v>
      </c>
      <c r="S12" s="7">
        <f t="shared" si="3"/>
        <v>1.5627953127953127E-2</v>
      </c>
      <c r="W12" t="s">
        <v>45</v>
      </c>
      <c r="X12">
        <f t="shared" ref="X12:X13" si="26">$B$3+$B$7</f>
        <v>2</v>
      </c>
      <c r="Y12">
        <f t="shared" ref="Y12:Y13" si="27">$C$3+$C$7</f>
        <v>9</v>
      </c>
      <c r="Z12">
        <f t="shared" si="7"/>
        <v>2</v>
      </c>
      <c r="AA12">
        <f t="shared" ref="AA12" si="28">AA11</f>
        <v>28</v>
      </c>
      <c r="AB12">
        <f>$F$18-$F$3-$F$7</f>
        <v>42</v>
      </c>
      <c r="AC12">
        <f t="shared" si="9"/>
        <v>42336</v>
      </c>
      <c r="AD12" s="14">
        <f t="shared" si="10"/>
        <v>6.5116471366471367E-4</v>
      </c>
      <c r="AE12" s="15">
        <f t="shared" si="11"/>
        <v>1.3023294273294274E-2</v>
      </c>
      <c r="AF12" s="7">
        <f>AE12*$C$28</f>
        <v>0.15627953127953129</v>
      </c>
      <c r="AG12" s="7">
        <f t="shared" si="12"/>
        <v>1.5627953127953127E-2</v>
      </c>
      <c r="AI12" s="7"/>
    </row>
    <row r="13" spans="1:35">
      <c r="A13" t="s">
        <v>20</v>
      </c>
      <c r="B13">
        <v>0</v>
      </c>
      <c r="C13">
        <v>4</v>
      </c>
      <c r="D13">
        <v>0</v>
      </c>
      <c r="E13">
        <v>4</v>
      </c>
      <c r="F13">
        <v>0</v>
      </c>
      <c r="I13" t="s">
        <v>46</v>
      </c>
      <c r="J13">
        <f>J12</f>
        <v>2</v>
      </c>
      <c r="K13">
        <f t="shared" si="25"/>
        <v>9</v>
      </c>
      <c r="L13">
        <f t="shared" si="25"/>
        <v>2</v>
      </c>
      <c r="M13">
        <f>E18-M11</f>
        <v>24</v>
      </c>
      <c r="N13">
        <f>F18</f>
        <v>48</v>
      </c>
      <c r="O13">
        <f t="shared" si="15"/>
        <v>41472</v>
      </c>
      <c r="P13" s="7">
        <f t="shared" si="1"/>
        <v>6.3787563787563782E-4</v>
      </c>
      <c r="Q13" s="7">
        <f t="shared" si="2"/>
        <v>1.2757512757512756E-2</v>
      </c>
      <c r="R13" s="7">
        <f>Q13*D28</f>
        <v>2.5515025515025512E-2</v>
      </c>
      <c r="S13" s="7">
        <f t="shared" si="3"/>
        <v>2.5515025515025513E-3</v>
      </c>
      <c r="W13" t="s">
        <v>46</v>
      </c>
      <c r="X13">
        <f t="shared" si="26"/>
        <v>2</v>
      </c>
      <c r="Y13">
        <f t="shared" si="27"/>
        <v>9</v>
      </c>
      <c r="Z13">
        <f t="shared" si="7"/>
        <v>2</v>
      </c>
      <c r="AA13">
        <f>$E$18-$E$3-$E$7</f>
        <v>24</v>
      </c>
      <c r="AB13">
        <f>$F$18</f>
        <v>48</v>
      </c>
      <c r="AC13">
        <f t="shared" si="9"/>
        <v>41472</v>
      </c>
      <c r="AD13" s="14">
        <f t="shared" si="10"/>
        <v>6.3787563787563782E-4</v>
      </c>
      <c r="AE13" s="15">
        <f t="shared" si="11"/>
        <v>1.2757512757512756E-2</v>
      </c>
      <c r="AF13" s="7">
        <f>AE13*$D$28</f>
        <v>2.5515025515025512E-2</v>
      </c>
      <c r="AG13" s="7">
        <f t="shared" si="12"/>
        <v>2.5515025515025513E-3</v>
      </c>
      <c r="AI13" s="7"/>
    </row>
    <row r="14" spans="1:35">
      <c r="A14" s="17" t="s">
        <v>21</v>
      </c>
      <c r="B14" s="17">
        <v>0</v>
      </c>
      <c r="C14" s="17">
        <v>0</v>
      </c>
      <c r="D14" s="17">
        <v>2</v>
      </c>
      <c r="E14" s="17">
        <v>0</v>
      </c>
      <c r="F14" s="17">
        <v>0</v>
      </c>
      <c r="I14" s="8" t="s">
        <v>47</v>
      </c>
      <c r="J14" s="8">
        <f>B3+B8</f>
        <v>4</v>
      </c>
      <c r="K14" s="8">
        <f t="shared" ref="K14:N14" si="29">C3+C8</f>
        <v>9</v>
      </c>
      <c r="L14" s="8">
        <f t="shared" si="29"/>
        <v>4</v>
      </c>
      <c r="M14" s="8">
        <f t="shared" si="29"/>
        <v>34</v>
      </c>
      <c r="N14" s="8">
        <f t="shared" si="29"/>
        <v>5</v>
      </c>
      <c r="O14" s="8">
        <f t="shared" si="15"/>
        <v>24480</v>
      </c>
      <c r="P14" s="9">
        <f t="shared" si="1"/>
        <v>3.7652381402381404E-4</v>
      </c>
      <c r="Q14" s="9">
        <f t="shared" si="2"/>
        <v>7.5304762804762806E-3</v>
      </c>
      <c r="R14" s="9">
        <f>Q14*B29</f>
        <v>0.30121905121905124</v>
      </c>
      <c r="S14" s="9">
        <f t="shared" si="3"/>
        <v>3.0121905121905122E-2</v>
      </c>
      <c r="W14" s="8" t="s">
        <v>47</v>
      </c>
      <c r="X14" s="8">
        <f>$B$3+$B$8</f>
        <v>4</v>
      </c>
      <c r="Y14" s="8">
        <f>$C$3+$C$8</f>
        <v>9</v>
      </c>
      <c r="Z14" s="8">
        <f t="shared" si="7"/>
        <v>2</v>
      </c>
      <c r="AA14" s="8">
        <f>$E$3+$E$8</f>
        <v>34</v>
      </c>
      <c r="AB14" s="8">
        <f>$F$3+$F$8</f>
        <v>5</v>
      </c>
      <c r="AC14" s="8">
        <f t="shared" si="9"/>
        <v>12240</v>
      </c>
      <c r="AD14" s="14">
        <f t="shared" si="10"/>
        <v>1.8826190701190702E-4</v>
      </c>
      <c r="AE14" s="15">
        <f t="shared" si="11"/>
        <v>3.7652381402381403E-3</v>
      </c>
      <c r="AF14" s="7">
        <f>AE14*$B$29</f>
        <v>0.15060952560952562</v>
      </c>
      <c r="AG14" s="7">
        <f t="shared" si="12"/>
        <v>1.5060952560952561E-2</v>
      </c>
      <c r="AI14" s="7"/>
    </row>
    <row r="15" spans="1:35">
      <c r="A15" t="s">
        <v>68</v>
      </c>
      <c r="B15">
        <v>0</v>
      </c>
      <c r="C15">
        <v>0</v>
      </c>
      <c r="D15">
        <v>0</v>
      </c>
      <c r="E15">
        <v>0</v>
      </c>
      <c r="F15">
        <v>0</v>
      </c>
      <c r="I15" t="s">
        <v>48</v>
      </c>
      <c r="J15">
        <f>J14</f>
        <v>4</v>
      </c>
      <c r="K15">
        <f>K14</f>
        <v>9</v>
      </c>
      <c r="L15">
        <f>L14</f>
        <v>4</v>
      </c>
      <c r="M15">
        <f>M14</f>
        <v>34</v>
      </c>
      <c r="N15">
        <f>F18-N14</f>
        <v>43</v>
      </c>
      <c r="O15">
        <f t="shared" si="15"/>
        <v>210528</v>
      </c>
      <c r="P15" s="7">
        <f t="shared" si="1"/>
        <v>3.2381048006048007E-3</v>
      </c>
      <c r="Q15" s="7">
        <f t="shared" si="2"/>
        <v>6.476209601209601E-2</v>
      </c>
      <c r="R15" s="7">
        <f>Q15*C29</f>
        <v>0.45333467208467204</v>
      </c>
      <c r="S15" s="7">
        <f t="shared" si="3"/>
        <v>4.5333467208467204E-2</v>
      </c>
      <c r="W15" t="s">
        <v>48</v>
      </c>
      <c r="X15">
        <f t="shared" ref="X15:X16" si="30">$B$3+$B$8</f>
        <v>4</v>
      </c>
      <c r="Y15">
        <f t="shared" ref="Y15:Y16" si="31">$C$3+$C$8</f>
        <v>9</v>
      </c>
      <c r="Z15">
        <f t="shared" si="7"/>
        <v>2</v>
      </c>
      <c r="AA15">
        <f>$E$3+$E$8</f>
        <v>34</v>
      </c>
      <c r="AB15">
        <f>$F$18-$F$3-$F$8</f>
        <v>43</v>
      </c>
      <c r="AC15">
        <f t="shared" si="9"/>
        <v>105264</v>
      </c>
      <c r="AD15" s="14">
        <f t="shared" si="10"/>
        <v>1.6190524003024003E-3</v>
      </c>
      <c r="AE15" s="15">
        <f t="shared" si="11"/>
        <v>3.2381048006048005E-2</v>
      </c>
      <c r="AF15" s="7">
        <f>AE15*$C$29</f>
        <v>0.22666733604233602</v>
      </c>
      <c r="AG15" s="7">
        <f t="shared" si="12"/>
        <v>2.2666733604233602E-2</v>
      </c>
      <c r="AI15" s="7"/>
    </row>
    <row r="16" spans="1:35">
      <c r="A16" s="17" t="s">
        <v>69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I16" t="s">
        <v>49</v>
      </c>
      <c r="J16">
        <f>J14</f>
        <v>4</v>
      </c>
      <c r="K16">
        <f>K14</f>
        <v>9</v>
      </c>
      <c r="L16">
        <f>L14</f>
        <v>4</v>
      </c>
      <c r="M16">
        <f>E18-M14</f>
        <v>18</v>
      </c>
      <c r="N16">
        <f>F18</f>
        <v>48</v>
      </c>
      <c r="O16">
        <f t="shared" si="15"/>
        <v>124416</v>
      </c>
      <c r="P16" s="7">
        <f t="shared" si="1"/>
        <v>1.9136269136269136E-3</v>
      </c>
      <c r="Q16" s="7">
        <f t="shared" si="2"/>
        <v>3.8272538272538272E-2</v>
      </c>
      <c r="R16" s="7">
        <f>Q16*D29</f>
        <v>7.6545076545076543E-2</v>
      </c>
      <c r="S16" s="7">
        <f t="shared" si="3"/>
        <v>7.6545076545076543E-3</v>
      </c>
      <c r="W16" t="s">
        <v>49</v>
      </c>
      <c r="X16">
        <f t="shared" si="30"/>
        <v>4</v>
      </c>
      <c r="Y16">
        <f t="shared" si="31"/>
        <v>9</v>
      </c>
      <c r="Z16">
        <f t="shared" si="7"/>
        <v>2</v>
      </c>
      <c r="AA16">
        <f>$E$18-$E$3-$E$8</f>
        <v>18</v>
      </c>
      <c r="AB16">
        <f>$F$18</f>
        <v>48</v>
      </c>
      <c r="AC16">
        <f t="shared" si="9"/>
        <v>62208</v>
      </c>
      <c r="AD16" s="14">
        <f t="shared" si="10"/>
        <v>9.5681345681345679E-4</v>
      </c>
      <c r="AE16" s="15">
        <f t="shared" si="11"/>
        <v>1.9136269136269136E-2</v>
      </c>
      <c r="AF16" s="7">
        <f>AE16*$D$29</f>
        <v>3.8272538272538272E-2</v>
      </c>
      <c r="AG16" s="7">
        <f t="shared" si="12"/>
        <v>3.8272538272538272E-3</v>
      </c>
      <c r="AI16" s="7"/>
    </row>
    <row r="17" spans="1:35">
      <c r="A17" t="s">
        <v>70</v>
      </c>
      <c r="B17">
        <v>0</v>
      </c>
      <c r="C17">
        <v>0</v>
      </c>
      <c r="D17">
        <v>0</v>
      </c>
      <c r="E17">
        <v>0</v>
      </c>
      <c r="F17">
        <v>0</v>
      </c>
      <c r="I17" s="8" t="s">
        <v>50</v>
      </c>
      <c r="J17" s="8">
        <f>B3+B9</f>
        <v>7</v>
      </c>
      <c r="K17" s="8">
        <f>C3+C9</f>
        <v>3</v>
      </c>
      <c r="L17" s="8">
        <f>D3+D9</f>
        <v>2</v>
      </c>
      <c r="M17" s="8">
        <f>E3+E9</f>
        <v>28</v>
      </c>
      <c r="N17" s="8">
        <f>F3+F9</f>
        <v>6</v>
      </c>
      <c r="O17" s="8">
        <f t="shared" si="15"/>
        <v>7056</v>
      </c>
      <c r="P17" s="9">
        <f t="shared" si="1"/>
        <v>1.0852745227745228E-4</v>
      </c>
      <c r="Q17" s="9">
        <f t="shared" si="2"/>
        <v>2.1705490455490454E-3</v>
      </c>
      <c r="R17" s="9">
        <f>Q17*B30</f>
        <v>5.4263726138726133E-2</v>
      </c>
      <c r="S17" s="9">
        <f t="shared" si="3"/>
        <v>5.426372613872613E-3</v>
      </c>
      <c r="W17" s="8" t="s">
        <v>50</v>
      </c>
      <c r="X17" s="8">
        <f>$B$3+$B$9</f>
        <v>7</v>
      </c>
      <c r="Y17" s="8">
        <f>$C$3+$C$9</f>
        <v>3</v>
      </c>
      <c r="Z17" s="8">
        <f t="shared" si="7"/>
        <v>2</v>
      </c>
      <c r="AA17" s="8">
        <f>$E$3+$E$9</f>
        <v>28</v>
      </c>
      <c r="AB17" s="8">
        <f>$F$3+$F$9</f>
        <v>6</v>
      </c>
      <c r="AC17" s="8">
        <f t="shared" si="9"/>
        <v>7056</v>
      </c>
      <c r="AD17" s="14">
        <f t="shared" si="10"/>
        <v>1.0852745227745228E-4</v>
      </c>
      <c r="AE17" s="15">
        <f t="shared" si="11"/>
        <v>2.1705490455490454E-3</v>
      </c>
      <c r="AF17" s="7">
        <f>AE17*B30</f>
        <v>5.4263726138726133E-2</v>
      </c>
      <c r="AG17" s="7">
        <f t="shared" si="12"/>
        <v>5.426372613872613E-3</v>
      </c>
      <c r="AI17" s="7"/>
    </row>
    <row r="18" spans="1:35">
      <c r="A18" s="1" t="s">
        <v>22</v>
      </c>
      <c r="B18" s="5">
        <f>SUM(B3:B17)</f>
        <v>32</v>
      </c>
      <c r="C18" s="5">
        <f>SUM(C3:C17)</f>
        <v>37</v>
      </c>
      <c r="D18" s="5">
        <f>SUM(D3:D17)</f>
        <v>22</v>
      </c>
      <c r="E18" s="5">
        <f>SUM(E3:E17)</f>
        <v>52</v>
      </c>
      <c r="F18" s="5">
        <f>SUM(F3:F17)</f>
        <v>48</v>
      </c>
      <c r="I18" t="s">
        <v>51</v>
      </c>
      <c r="J18">
        <f>J17</f>
        <v>7</v>
      </c>
      <c r="K18">
        <f t="shared" ref="K18:M18" si="32">K17</f>
        <v>3</v>
      </c>
      <c r="L18">
        <f t="shared" si="32"/>
        <v>2</v>
      </c>
      <c r="M18">
        <f t="shared" si="32"/>
        <v>28</v>
      </c>
      <c r="N18">
        <f>F18-N17</f>
        <v>42</v>
      </c>
      <c r="O18">
        <f t="shared" si="15"/>
        <v>49392</v>
      </c>
      <c r="P18" s="7">
        <f t="shared" si="1"/>
        <v>7.596921659421659E-4</v>
      </c>
      <c r="Q18" s="7">
        <f t="shared" si="2"/>
        <v>1.5193843318843318E-2</v>
      </c>
      <c r="R18" s="7">
        <f>Q18*C30</f>
        <v>7.5969216594216599E-2</v>
      </c>
      <c r="S18" s="7">
        <f t="shared" si="3"/>
        <v>7.59692165942166E-3</v>
      </c>
      <c r="W18" t="s">
        <v>51</v>
      </c>
      <c r="X18">
        <f t="shared" ref="X18:X19" si="33">$B$3+$B$9</f>
        <v>7</v>
      </c>
      <c r="Y18">
        <f t="shared" ref="Y18:Y19" si="34">$C$3+$C$9</f>
        <v>3</v>
      </c>
      <c r="Z18">
        <f t="shared" si="7"/>
        <v>2</v>
      </c>
      <c r="AA18">
        <f>$E$3+$E$9</f>
        <v>28</v>
      </c>
      <c r="AB18">
        <f>$F$18-$F$3-$F$9</f>
        <v>42</v>
      </c>
      <c r="AC18">
        <f t="shared" si="9"/>
        <v>49392</v>
      </c>
      <c r="AD18" s="14">
        <f t="shared" si="10"/>
        <v>7.596921659421659E-4</v>
      </c>
      <c r="AE18" s="15">
        <f t="shared" si="11"/>
        <v>1.5193843318843318E-2</v>
      </c>
      <c r="AF18" s="7">
        <f>AE18*$C$30</f>
        <v>7.5969216594216599E-2</v>
      </c>
      <c r="AG18" s="7">
        <f t="shared" si="12"/>
        <v>7.59692165942166E-3</v>
      </c>
      <c r="AI18" s="7"/>
    </row>
    <row r="19" spans="1:35">
      <c r="A19" s="4" t="s">
        <v>33</v>
      </c>
      <c r="B19" s="54">
        <f>PRODUCT(B18:F18)</f>
        <v>65015808</v>
      </c>
      <c r="C19" s="54"/>
      <c r="D19" s="54"/>
      <c r="E19" s="54"/>
      <c r="F19" s="54"/>
      <c r="I19" t="s">
        <v>52</v>
      </c>
      <c r="J19">
        <f>J17</f>
        <v>7</v>
      </c>
      <c r="K19">
        <f t="shared" ref="K19:L19" si="35">K17</f>
        <v>3</v>
      </c>
      <c r="L19">
        <f t="shared" si="35"/>
        <v>2</v>
      </c>
      <c r="M19">
        <f>E18-M17</f>
        <v>24</v>
      </c>
      <c r="N19">
        <f>F18</f>
        <v>48</v>
      </c>
      <c r="O19">
        <f t="shared" si="15"/>
        <v>48384</v>
      </c>
      <c r="P19" s="7">
        <f t="shared" si="1"/>
        <v>7.4418824418824418E-4</v>
      </c>
      <c r="Q19" s="7">
        <f t="shared" si="2"/>
        <v>1.4883764883764883E-2</v>
      </c>
      <c r="R19" s="7">
        <f>Q19*D30</f>
        <v>2.9767529767529766E-2</v>
      </c>
      <c r="S19" s="7">
        <f t="shared" si="3"/>
        <v>2.9767529767529767E-3</v>
      </c>
      <c r="W19" t="s">
        <v>52</v>
      </c>
      <c r="X19">
        <f t="shared" si="33"/>
        <v>7</v>
      </c>
      <c r="Y19">
        <f t="shared" si="34"/>
        <v>3</v>
      </c>
      <c r="Z19">
        <f t="shared" si="7"/>
        <v>2</v>
      </c>
      <c r="AA19">
        <f>$E$18-$E$3-$E$9</f>
        <v>24</v>
      </c>
      <c r="AB19">
        <f>$F$18</f>
        <v>48</v>
      </c>
      <c r="AC19">
        <f t="shared" si="9"/>
        <v>48384</v>
      </c>
      <c r="AD19" s="14">
        <f t="shared" si="10"/>
        <v>7.4418824418824418E-4</v>
      </c>
      <c r="AE19" s="15">
        <f t="shared" si="11"/>
        <v>1.4883764883764883E-2</v>
      </c>
      <c r="AF19" s="7">
        <f>AE19*$D$30</f>
        <v>2.9767529767529766E-2</v>
      </c>
      <c r="AG19" s="7">
        <f t="shared" si="12"/>
        <v>2.9767529767529767E-3</v>
      </c>
      <c r="AI19" s="7"/>
    </row>
    <row r="20" spans="1:35">
      <c r="A20" s="11"/>
      <c r="B20" s="6"/>
      <c r="I20" s="8" t="s">
        <v>53</v>
      </c>
      <c r="J20" s="8">
        <f>B3+B10</f>
        <v>7</v>
      </c>
      <c r="K20" s="8">
        <f>C3+C10</f>
        <v>3</v>
      </c>
      <c r="L20" s="8">
        <f>D3+D10</f>
        <v>2</v>
      </c>
      <c r="M20" s="8">
        <f>E3+E10</f>
        <v>30</v>
      </c>
      <c r="N20" s="8">
        <f>F3+F10</f>
        <v>6</v>
      </c>
      <c r="O20" s="8">
        <f t="shared" si="15"/>
        <v>7560</v>
      </c>
      <c r="P20" s="9">
        <f t="shared" si="1"/>
        <v>1.1627941315441315E-4</v>
      </c>
      <c r="Q20" s="9">
        <f t="shared" si="2"/>
        <v>2.3255882630882629E-3</v>
      </c>
      <c r="R20" s="9">
        <f>Q20*B31</f>
        <v>5.8139706577206574E-2</v>
      </c>
      <c r="S20" s="9">
        <f t="shared" si="3"/>
        <v>5.8139706577206574E-3</v>
      </c>
      <c r="W20" s="8" t="s">
        <v>53</v>
      </c>
      <c r="X20" s="8">
        <f>$B$3+$B$10</f>
        <v>7</v>
      </c>
      <c r="Y20" s="8">
        <f>$C$3+$C$10</f>
        <v>3</v>
      </c>
      <c r="Z20" s="8">
        <f t="shared" si="7"/>
        <v>2</v>
      </c>
      <c r="AA20" s="8">
        <f>$E$3+$E$10</f>
        <v>30</v>
      </c>
      <c r="AB20" s="8">
        <f>$F$3+$F$10</f>
        <v>6</v>
      </c>
      <c r="AC20" s="8">
        <f t="shared" si="9"/>
        <v>7560</v>
      </c>
      <c r="AD20" s="14">
        <f t="shared" si="10"/>
        <v>1.1627941315441315E-4</v>
      </c>
      <c r="AE20" s="15">
        <f t="shared" si="11"/>
        <v>2.3255882630882629E-3</v>
      </c>
      <c r="AF20" s="7">
        <f>AE20*$B$31</f>
        <v>5.8139706577206574E-2</v>
      </c>
      <c r="AG20" s="7">
        <f t="shared" si="12"/>
        <v>5.8139706577206574E-3</v>
      </c>
      <c r="AI20" s="7"/>
    </row>
    <row r="21" spans="1:35">
      <c r="A21" s="3" t="s">
        <v>30</v>
      </c>
      <c r="B21" s="3" t="s">
        <v>34</v>
      </c>
      <c r="I21" t="s">
        <v>54</v>
      </c>
      <c r="J21">
        <f>J20</f>
        <v>7</v>
      </c>
      <c r="K21">
        <f t="shared" ref="K21:M21" si="36">K20</f>
        <v>3</v>
      </c>
      <c r="L21">
        <f t="shared" si="36"/>
        <v>2</v>
      </c>
      <c r="M21">
        <f t="shared" si="36"/>
        <v>30</v>
      </c>
      <c r="N21">
        <f>F18-N20</f>
        <v>42</v>
      </c>
      <c r="O21">
        <f t="shared" si="15"/>
        <v>52920</v>
      </c>
      <c r="P21" s="7">
        <f t="shared" si="1"/>
        <v>8.1395589208089212E-4</v>
      </c>
      <c r="Q21" s="7">
        <f t="shared" si="2"/>
        <v>1.6279117841617841E-2</v>
      </c>
      <c r="R21" s="7">
        <f>Q21*C31</f>
        <v>8.1395589208089203E-2</v>
      </c>
      <c r="S21" s="7">
        <f t="shared" si="3"/>
        <v>8.1395589208089203E-3</v>
      </c>
      <c r="W21" t="s">
        <v>54</v>
      </c>
      <c r="X21">
        <f t="shared" ref="X21:X22" si="37">$B$3+$B$10</f>
        <v>7</v>
      </c>
      <c r="Y21">
        <f t="shared" ref="Y21:Y22" si="38">$C$3+$C$10</f>
        <v>3</v>
      </c>
      <c r="Z21">
        <f t="shared" si="7"/>
        <v>2</v>
      </c>
      <c r="AA21">
        <f>$E$3+$E$10</f>
        <v>30</v>
      </c>
      <c r="AB21">
        <f>$F$18-$F$3-$F$10</f>
        <v>42</v>
      </c>
      <c r="AC21">
        <f t="shared" si="9"/>
        <v>52920</v>
      </c>
      <c r="AD21" s="14">
        <f t="shared" si="10"/>
        <v>8.1395589208089212E-4</v>
      </c>
      <c r="AE21" s="15">
        <f t="shared" si="11"/>
        <v>1.6279117841617841E-2</v>
      </c>
      <c r="AF21" s="7">
        <f>AE21*$C$31</f>
        <v>8.1395589208089203E-2</v>
      </c>
      <c r="AG21" s="7">
        <f t="shared" si="12"/>
        <v>8.1395589208089203E-3</v>
      </c>
      <c r="AI21" s="7"/>
    </row>
    <row r="22" spans="1:35">
      <c r="A22">
        <v>20</v>
      </c>
      <c r="B22">
        <v>10</v>
      </c>
      <c r="I22" t="s">
        <v>55</v>
      </c>
      <c r="J22">
        <f>J20</f>
        <v>7</v>
      </c>
      <c r="K22">
        <f t="shared" ref="K22:L22" si="39">K20</f>
        <v>3</v>
      </c>
      <c r="L22">
        <f t="shared" si="39"/>
        <v>2</v>
      </c>
      <c r="M22">
        <f>E18-M20</f>
        <v>22</v>
      </c>
      <c r="N22">
        <f>F18</f>
        <v>48</v>
      </c>
      <c r="O22">
        <f t="shared" si="15"/>
        <v>44352</v>
      </c>
      <c r="P22" s="7">
        <f t="shared" si="1"/>
        <v>6.8217255717255721E-4</v>
      </c>
      <c r="Q22" s="7">
        <f t="shared" si="2"/>
        <v>1.3643451143451144E-2</v>
      </c>
      <c r="R22" s="7">
        <f>Q22*D31</f>
        <v>2.7286902286902288E-2</v>
      </c>
      <c r="S22" s="7">
        <f t="shared" si="3"/>
        <v>2.7286902286902288E-3</v>
      </c>
      <c r="W22" t="s">
        <v>55</v>
      </c>
      <c r="X22">
        <f t="shared" si="37"/>
        <v>7</v>
      </c>
      <c r="Y22">
        <f t="shared" si="38"/>
        <v>3</v>
      </c>
      <c r="Z22">
        <f t="shared" si="7"/>
        <v>2</v>
      </c>
      <c r="AA22">
        <f>$E$18-$E$3-$E$10</f>
        <v>22</v>
      </c>
      <c r="AB22">
        <f>$F$18</f>
        <v>48</v>
      </c>
      <c r="AC22">
        <f t="shared" si="9"/>
        <v>44352</v>
      </c>
      <c r="AD22" s="14">
        <f t="shared" si="10"/>
        <v>6.8217255717255721E-4</v>
      </c>
      <c r="AE22" s="15">
        <f t="shared" si="11"/>
        <v>1.3643451143451144E-2</v>
      </c>
      <c r="AF22" s="7">
        <f>AE22*D31</f>
        <v>2.7286902286902288E-2</v>
      </c>
      <c r="AG22" s="7">
        <f t="shared" si="12"/>
        <v>2.7286902286902288E-3</v>
      </c>
      <c r="AI22" s="7"/>
    </row>
    <row r="23" spans="1:35">
      <c r="I23" s="8" t="s">
        <v>56</v>
      </c>
      <c r="J23" s="8">
        <f>B3+B11</f>
        <v>2</v>
      </c>
      <c r="K23" s="8">
        <f>C3+C11</f>
        <v>7</v>
      </c>
      <c r="L23" s="8">
        <f>D3+D11</f>
        <v>0</v>
      </c>
      <c r="M23" s="8">
        <f>E3+E11</f>
        <v>28</v>
      </c>
      <c r="N23" s="8">
        <f>F3+F11</f>
        <v>6</v>
      </c>
      <c r="O23" s="8">
        <f t="shared" si="15"/>
        <v>0</v>
      </c>
      <c r="P23" s="9">
        <f t="shared" si="1"/>
        <v>0</v>
      </c>
      <c r="Q23" s="9">
        <f t="shared" si="2"/>
        <v>0</v>
      </c>
      <c r="R23" s="9">
        <f>Q23*B32</f>
        <v>0</v>
      </c>
      <c r="S23" s="9">
        <f t="shared" si="3"/>
        <v>0</v>
      </c>
      <c r="W23" s="8" t="s">
        <v>56</v>
      </c>
      <c r="X23" s="8">
        <f>$B$3+$B$11</f>
        <v>2</v>
      </c>
      <c r="Y23" s="8">
        <f>$C$3+$C$11</f>
        <v>7</v>
      </c>
      <c r="Z23" s="8">
        <f t="shared" si="7"/>
        <v>2</v>
      </c>
      <c r="AA23" s="8">
        <f>$E$3+$E$11</f>
        <v>28</v>
      </c>
      <c r="AB23" s="8">
        <f>$F$3+$F$11</f>
        <v>6</v>
      </c>
      <c r="AC23" s="8">
        <f t="shared" si="9"/>
        <v>4704</v>
      </c>
      <c r="AD23" s="14">
        <f t="shared" si="10"/>
        <v>7.2351634851634857E-5</v>
      </c>
      <c r="AE23" s="15">
        <f t="shared" si="11"/>
        <v>1.4470326970326972E-3</v>
      </c>
      <c r="AF23" s="7">
        <f>AE23*$B$32</f>
        <v>3.6175817425817429E-2</v>
      </c>
      <c r="AG23" s="7">
        <f t="shared" si="12"/>
        <v>3.617581742581743E-3</v>
      </c>
      <c r="AI23" s="7"/>
    </row>
    <row r="24" spans="1:35">
      <c r="A24" s="1" t="s">
        <v>0</v>
      </c>
      <c r="B24" s="1" t="s">
        <v>1</v>
      </c>
      <c r="C24" s="1" t="s">
        <v>2</v>
      </c>
      <c r="D24" s="1" t="s">
        <v>3</v>
      </c>
      <c r="I24" t="s">
        <v>57</v>
      </c>
      <c r="J24">
        <f>J23</f>
        <v>2</v>
      </c>
      <c r="K24">
        <f t="shared" ref="K24:M24" si="40">K23</f>
        <v>7</v>
      </c>
      <c r="L24">
        <f t="shared" si="40"/>
        <v>0</v>
      </c>
      <c r="M24">
        <f t="shared" si="40"/>
        <v>28</v>
      </c>
      <c r="N24">
        <f>F18-N23</f>
        <v>42</v>
      </c>
      <c r="O24">
        <f t="shared" si="15"/>
        <v>0</v>
      </c>
      <c r="P24" s="7">
        <f t="shared" si="1"/>
        <v>0</v>
      </c>
      <c r="Q24" s="7">
        <f t="shared" si="2"/>
        <v>0</v>
      </c>
      <c r="R24" s="7">
        <f>Q24*C32</f>
        <v>0</v>
      </c>
      <c r="S24" s="7">
        <f t="shared" si="3"/>
        <v>0</v>
      </c>
      <c r="W24" t="s">
        <v>57</v>
      </c>
      <c r="X24">
        <f t="shared" ref="X24:X25" si="41">$B$3+$B$11</f>
        <v>2</v>
      </c>
      <c r="Y24">
        <f t="shared" ref="Y24:Y25" si="42">$C$3+$C$11</f>
        <v>7</v>
      </c>
      <c r="Z24">
        <f t="shared" si="7"/>
        <v>2</v>
      </c>
      <c r="AA24">
        <f>$E$3+$E$11</f>
        <v>28</v>
      </c>
      <c r="AB24">
        <f>$F$18-$F$3-$F$11</f>
        <v>42</v>
      </c>
      <c r="AC24">
        <f t="shared" si="9"/>
        <v>32928</v>
      </c>
      <c r="AD24" s="14">
        <f t="shared" si="10"/>
        <v>5.0646144396144393E-4</v>
      </c>
      <c r="AE24" s="15">
        <f t="shared" si="11"/>
        <v>1.0129228879228878E-2</v>
      </c>
      <c r="AF24" s="7">
        <f>AE24*$C$32</f>
        <v>5.0646144396144385E-2</v>
      </c>
      <c r="AG24" s="7">
        <f t="shared" si="12"/>
        <v>5.0646144396144389E-3</v>
      </c>
      <c r="AI24" s="7"/>
    </row>
    <row r="25" spans="1:35">
      <c r="A25" t="s">
        <v>4</v>
      </c>
      <c r="B25" s="2">
        <v>75</v>
      </c>
      <c r="C25" s="2">
        <v>25</v>
      </c>
      <c r="D25" s="2">
        <v>2</v>
      </c>
      <c r="I25" t="s">
        <v>58</v>
      </c>
      <c r="J25">
        <f>J23</f>
        <v>2</v>
      </c>
      <c r="K25">
        <f t="shared" ref="K25:L25" si="43">K23</f>
        <v>7</v>
      </c>
      <c r="L25">
        <f t="shared" si="43"/>
        <v>0</v>
      </c>
      <c r="M25">
        <f>E18-M23</f>
        <v>24</v>
      </c>
      <c r="N25">
        <f>F18</f>
        <v>48</v>
      </c>
      <c r="O25">
        <f t="shared" si="15"/>
        <v>0</v>
      </c>
      <c r="P25" s="7">
        <f t="shared" si="1"/>
        <v>0</v>
      </c>
      <c r="Q25" s="7">
        <f t="shared" si="2"/>
        <v>0</v>
      </c>
      <c r="R25" s="7">
        <f>Q25*D32</f>
        <v>0</v>
      </c>
      <c r="S25" s="7">
        <f t="shared" si="3"/>
        <v>0</v>
      </c>
      <c r="W25" t="s">
        <v>58</v>
      </c>
      <c r="X25">
        <f t="shared" si="41"/>
        <v>2</v>
      </c>
      <c r="Y25">
        <f t="shared" si="42"/>
        <v>7</v>
      </c>
      <c r="Z25">
        <f t="shared" si="7"/>
        <v>2</v>
      </c>
      <c r="AA25">
        <f>$E$18-$E$3-$E$11</f>
        <v>24</v>
      </c>
      <c r="AB25">
        <f>$F$18</f>
        <v>48</v>
      </c>
      <c r="AC25">
        <f t="shared" si="9"/>
        <v>32256</v>
      </c>
      <c r="AD25" s="14">
        <f t="shared" si="10"/>
        <v>4.9612549612549608E-4</v>
      </c>
      <c r="AE25" s="15">
        <f t="shared" si="11"/>
        <v>9.9225099225099221E-3</v>
      </c>
      <c r="AF25" s="7">
        <f>AE25*$D$32</f>
        <v>1.9845019845019844E-2</v>
      </c>
      <c r="AG25" s="7">
        <f t="shared" si="12"/>
        <v>1.9845019845019843E-3</v>
      </c>
      <c r="AI25" s="7"/>
    </row>
    <row r="26" spans="1:35">
      <c r="A26" t="s">
        <v>5</v>
      </c>
      <c r="B26" s="2">
        <v>50</v>
      </c>
      <c r="C26" s="2">
        <v>12</v>
      </c>
      <c r="D26" s="2">
        <v>2</v>
      </c>
      <c r="I26" s="8" t="s">
        <v>59</v>
      </c>
      <c r="J26" s="8">
        <f>B3+B12</f>
        <v>2</v>
      </c>
      <c r="K26" s="8">
        <f>C3+C12</f>
        <v>7</v>
      </c>
      <c r="L26" s="8">
        <f>D3+D12</f>
        <v>0</v>
      </c>
      <c r="M26" s="8">
        <f>E3+E12</f>
        <v>32</v>
      </c>
      <c r="N26" s="8">
        <f>F3+F12</f>
        <v>6</v>
      </c>
      <c r="O26" s="8">
        <f t="shared" si="15"/>
        <v>0</v>
      </c>
      <c r="P26" s="9">
        <f t="shared" si="1"/>
        <v>0</v>
      </c>
      <c r="Q26" s="9">
        <f t="shared" si="2"/>
        <v>0</v>
      </c>
      <c r="R26" s="9">
        <f>Q26*B33</f>
        <v>0</v>
      </c>
      <c r="S26" s="9">
        <f t="shared" si="3"/>
        <v>0</v>
      </c>
      <c r="W26" s="8" t="s">
        <v>59</v>
      </c>
      <c r="X26" s="8">
        <f>$B$3+$B$12</f>
        <v>2</v>
      </c>
      <c r="Y26" s="8">
        <f>$C$3+$C$12</f>
        <v>7</v>
      </c>
      <c r="Z26" s="8">
        <f t="shared" si="7"/>
        <v>2</v>
      </c>
      <c r="AA26" s="8">
        <f>$E$3+$E$12</f>
        <v>32</v>
      </c>
      <c r="AB26" s="8">
        <f>$F$3+$F$12</f>
        <v>6</v>
      </c>
      <c r="AC26" s="8">
        <f t="shared" si="9"/>
        <v>5376</v>
      </c>
      <c r="AD26" s="14">
        <f t="shared" si="10"/>
        <v>8.268758268758269E-5</v>
      </c>
      <c r="AE26" s="15">
        <f t="shared" si="11"/>
        <v>1.6537516537516537E-3</v>
      </c>
      <c r="AF26" s="7">
        <f>AE26*$B$33</f>
        <v>4.134379134379134E-2</v>
      </c>
      <c r="AG26" s="7">
        <f t="shared" si="12"/>
        <v>4.1343791343791342E-3</v>
      </c>
      <c r="AI26" s="7"/>
    </row>
    <row r="27" spans="1:35">
      <c r="A27" t="s">
        <v>6</v>
      </c>
      <c r="B27" s="2">
        <v>50</v>
      </c>
      <c r="C27" s="2">
        <v>12</v>
      </c>
      <c r="D27" s="2">
        <v>2</v>
      </c>
      <c r="I27" t="s">
        <v>60</v>
      </c>
      <c r="J27">
        <f>J26</f>
        <v>2</v>
      </c>
      <c r="K27">
        <f t="shared" ref="K27:M27" si="44">K26</f>
        <v>7</v>
      </c>
      <c r="L27">
        <f t="shared" si="44"/>
        <v>0</v>
      </c>
      <c r="M27">
        <f t="shared" si="44"/>
        <v>32</v>
      </c>
      <c r="N27">
        <f>F18-N26</f>
        <v>42</v>
      </c>
      <c r="O27">
        <f t="shared" si="15"/>
        <v>0</v>
      </c>
      <c r="P27" s="7">
        <f t="shared" si="1"/>
        <v>0</v>
      </c>
      <c r="Q27" s="7">
        <f t="shared" si="2"/>
        <v>0</v>
      </c>
      <c r="R27" s="7">
        <f>Q27*C33</f>
        <v>0</v>
      </c>
      <c r="S27" s="7">
        <f t="shared" si="3"/>
        <v>0</v>
      </c>
      <c r="W27" t="s">
        <v>60</v>
      </c>
      <c r="X27">
        <f t="shared" ref="X27:X28" si="45">$B$3+$B$12</f>
        <v>2</v>
      </c>
      <c r="Y27">
        <f t="shared" ref="Y27:Y28" si="46">$C$3+$C$12</f>
        <v>7</v>
      </c>
      <c r="Z27">
        <f t="shared" si="7"/>
        <v>2</v>
      </c>
      <c r="AA27">
        <f>$E$3+$E$12</f>
        <v>32</v>
      </c>
      <c r="AB27">
        <f>$F$18-$F$3-$F$12</f>
        <v>42</v>
      </c>
      <c r="AC27">
        <f t="shared" si="9"/>
        <v>37632</v>
      </c>
      <c r="AD27" s="14">
        <f t="shared" si="10"/>
        <v>5.7881307881307886E-4</v>
      </c>
      <c r="AE27" s="15">
        <f t="shared" si="11"/>
        <v>1.1576261576261578E-2</v>
      </c>
      <c r="AF27" s="7">
        <f>AE27*$C$33</f>
        <v>5.7881307881307888E-2</v>
      </c>
      <c r="AG27" s="7">
        <f t="shared" si="12"/>
        <v>5.7881307881307888E-3</v>
      </c>
      <c r="AI27" s="7"/>
    </row>
    <row r="28" spans="1:35">
      <c r="A28" t="s">
        <v>7</v>
      </c>
      <c r="B28" s="2">
        <v>50</v>
      </c>
      <c r="C28" s="2">
        <v>12</v>
      </c>
      <c r="D28" s="2">
        <v>2</v>
      </c>
      <c r="I28" t="s">
        <v>61</v>
      </c>
      <c r="J28">
        <f>J26</f>
        <v>2</v>
      </c>
      <c r="K28">
        <f t="shared" ref="K28:L28" si="47">K26</f>
        <v>7</v>
      </c>
      <c r="L28">
        <f t="shared" si="47"/>
        <v>0</v>
      </c>
      <c r="M28">
        <f>E18-M26</f>
        <v>20</v>
      </c>
      <c r="N28">
        <f>F18</f>
        <v>48</v>
      </c>
      <c r="O28">
        <f t="shared" si="15"/>
        <v>0</v>
      </c>
      <c r="P28" s="7">
        <f t="shared" si="1"/>
        <v>0</v>
      </c>
      <c r="Q28" s="7">
        <f t="shared" si="2"/>
        <v>0</v>
      </c>
      <c r="R28" s="7">
        <f>Q28*D33</f>
        <v>0</v>
      </c>
      <c r="S28" s="7">
        <f t="shared" si="3"/>
        <v>0</v>
      </c>
      <c r="W28" t="s">
        <v>61</v>
      </c>
      <c r="X28">
        <f t="shared" si="45"/>
        <v>2</v>
      </c>
      <c r="Y28">
        <f t="shared" si="46"/>
        <v>7</v>
      </c>
      <c r="Z28">
        <f t="shared" si="7"/>
        <v>2</v>
      </c>
      <c r="AA28">
        <f>$E$18-E3-$E$12</f>
        <v>20</v>
      </c>
      <c r="AB28">
        <f>$F$18</f>
        <v>48</v>
      </c>
      <c r="AC28">
        <f t="shared" si="9"/>
        <v>26880</v>
      </c>
      <c r="AD28" s="14">
        <f t="shared" si="10"/>
        <v>4.1343791343791342E-4</v>
      </c>
      <c r="AE28" s="15">
        <f t="shared" si="11"/>
        <v>8.2687582687582684E-3</v>
      </c>
      <c r="AF28" s="7">
        <f>AE28*$D$33</f>
        <v>1.6537516537516537E-2</v>
      </c>
      <c r="AG28" s="7">
        <f t="shared" si="12"/>
        <v>1.6537516537516537E-3</v>
      </c>
      <c r="AI28" s="7"/>
    </row>
    <row r="29" spans="1:35">
      <c r="A29" t="s">
        <v>8</v>
      </c>
      <c r="B29" s="2">
        <v>40</v>
      </c>
      <c r="C29" s="2">
        <v>7</v>
      </c>
      <c r="D29" s="2">
        <v>2</v>
      </c>
      <c r="P29" s="7">
        <f>SUM(P2:P28)</f>
        <v>1.1056511056511058E-2</v>
      </c>
      <c r="Q29" s="7">
        <f t="shared" ref="Q29:S29" si="48">SUM(Q2:Q28)</f>
        <v>0.22113022113022116</v>
      </c>
      <c r="R29" s="7">
        <f t="shared" si="48"/>
        <v>1.6923785673785674</v>
      </c>
      <c r="S29" s="7">
        <f t="shared" si="48"/>
        <v>0.16923785673785674</v>
      </c>
      <c r="AD29" s="7">
        <f>SUM(AD2:AD28)</f>
        <v>1.0135135135135134E-2</v>
      </c>
      <c r="AE29" s="7">
        <f t="shared" ref="AE29:AG29" si="49">SUM(AE2:AE28)</f>
        <v>0.20270270270270269</v>
      </c>
      <c r="AF29" s="7">
        <f t="shared" si="49"/>
        <v>1.3874828718578713</v>
      </c>
      <c r="AG29" s="7">
        <f t="shared" si="49"/>
        <v>0.13874828718578719</v>
      </c>
      <c r="AH29" s="7"/>
      <c r="AI29" s="7"/>
    </row>
    <row r="30" spans="1:35">
      <c r="A30" t="s">
        <v>9</v>
      </c>
      <c r="B30" s="2">
        <v>25</v>
      </c>
      <c r="C30" s="2">
        <v>5</v>
      </c>
      <c r="D30" s="2">
        <v>2</v>
      </c>
      <c r="P30" s="7"/>
      <c r="Q30" s="7"/>
      <c r="R30" s="7"/>
      <c r="S30" s="7"/>
    </row>
    <row r="31" spans="1:35">
      <c r="A31" t="s">
        <v>10</v>
      </c>
      <c r="B31" s="2">
        <v>25</v>
      </c>
      <c r="C31" s="2">
        <v>5</v>
      </c>
      <c r="D31" s="2">
        <v>2</v>
      </c>
    </row>
    <row r="32" spans="1:35">
      <c r="A32" t="s">
        <v>11</v>
      </c>
      <c r="B32" s="2">
        <v>25</v>
      </c>
      <c r="C32" s="2">
        <v>5</v>
      </c>
      <c r="D32" s="2">
        <v>2</v>
      </c>
      <c r="I32" s="3" t="s">
        <v>84</v>
      </c>
      <c r="J32" s="3" t="s">
        <v>24</v>
      </c>
      <c r="K32" s="3" t="s">
        <v>25</v>
      </c>
      <c r="L32" s="3" t="s">
        <v>26</v>
      </c>
      <c r="M32" s="3" t="s">
        <v>27</v>
      </c>
      <c r="N32" s="3" t="s">
        <v>28</v>
      </c>
      <c r="O32" s="3" t="s">
        <v>31</v>
      </c>
      <c r="P32" s="3" t="s">
        <v>62</v>
      </c>
      <c r="Q32" s="3" t="s">
        <v>63</v>
      </c>
      <c r="R32" s="3" t="s">
        <v>32</v>
      </c>
      <c r="S32" s="3" t="s">
        <v>35</v>
      </c>
      <c r="W32" s="3" t="s">
        <v>87</v>
      </c>
      <c r="X32" s="3" t="s">
        <v>24</v>
      </c>
      <c r="Y32" s="3" t="s">
        <v>25</v>
      </c>
      <c r="Z32" s="3" t="s">
        <v>26</v>
      </c>
      <c r="AA32" s="3" t="s">
        <v>27</v>
      </c>
      <c r="AB32" s="3" t="s">
        <v>28</v>
      </c>
      <c r="AC32" s="3" t="s">
        <v>31</v>
      </c>
      <c r="AD32" s="3" t="s">
        <v>62</v>
      </c>
      <c r="AE32" s="3" t="s">
        <v>63</v>
      </c>
      <c r="AF32" s="3" t="s">
        <v>32</v>
      </c>
      <c r="AG32" s="3" t="s">
        <v>35</v>
      </c>
    </row>
    <row r="33" spans="1:33">
      <c r="A33" t="s">
        <v>12</v>
      </c>
      <c r="B33" s="2">
        <v>25</v>
      </c>
      <c r="C33" s="2">
        <v>5</v>
      </c>
      <c r="D33" s="2">
        <v>2</v>
      </c>
      <c r="I33" t="s">
        <v>85</v>
      </c>
      <c r="J33">
        <f>$B$18</f>
        <v>32</v>
      </c>
      <c r="K33">
        <f>$C$13*3</f>
        <v>12</v>
      </c>
      <c r="L33">
        <f>$D$13*3</f>
        <v>0</v>
      </c>
      <c r="M33">
        <f>$E$13*3</f>
        <v>12</v>
      </c>
      <c r="N33">
        <f>$F$18</f>
        <v>48</v>
      </c>
      <c r="O33">
        <f>PRODUCT(J33:N33)</f>
        <v>0</v>
      </c>
      <c r="P33" s="10">
        <f>O33/$B$19</f>
        <v>0</v>
      </c>
      <c r="Q33" s="10">
        <f>P33</f>
        <v>0</v>
      </c>
      <c r="R33" s="10">
        <f>Q33*D34</f>
        <v>0</v>
      </c>
      <c r="S33" s="10">
        <f>R33</f>
        <v>0</v>
      </c>
      <c r="W33" t="s">
        <v>86</v>
      </c>
      <c r="X33">
        <f>$B$18</f>
        <v>32</v>
      </c>
      <c r="Y33">
        <f>$C$13*3</f>
        <v>12</v>
      </c>
      <c r="Z33">
        <f>$D$14*3</f>
        <v>6</v>
      </c>
      <c r="AA33">
        <f>$E$13*3</f>
        <v>12</v>
      </c>
      <c r="AB33">
        <f>$F$18</f>
        <v>48</v>
      </c>
      <c r="AC33">
        <f>PRODUCT(X33:AB33)</f>
        <v>1327104</v>
      </c>
      <c r="AD33" s="10">
        <f>AC33/$B$19</f>
        <v>2.041202041202041E-2</v>
      </c>
      <c r="AE33" s="10">
        <f>AD33</f>
        <v>2.041202041202041E-2</v>
      </c>
      <c r="AF33" s="10">
        <f>AE33*$D$34</f>
        <v>2.041202041202041E-2</v>
      </c>
      <c r="AG33" s="10">
        <f>AF33</f>
        <v>2.041202041202041E-2</v>
      </c>
    </row>
    <row r="34" spans="1:33">
      <c r="A34" t="s">
        <v>20</v>
      </c>
      <c r="B34" s="2">
        <v>50</v>
      </c>
      <c r="C34" s="2">
        <v>5</v>
      </c>
      <c r="D34" s="2">
        <v>1</v>
      </c>
    </row>
    <row r="36" spans="1:33">
      <c r="I36" s="8" t="s">
        <v>99</v>
      </c>
      <c r="J36" s="8"/>
      <c r="K36" s="8"/>
      <c r="L36" s="8"/>
      <c r="M36" s="8"/>
      <c r="N36" s="8"/>
      <c r="O36" s="8"/>
      <c r="P36" s="8"/>
      <c r="Q36" s="8"/>
      <c r="R36" s="8"/>
      <c r="S36" s="9">
        <f>S29+S33</f>
        <v>0.16923785673785674</v>
      </c>
      <c r="T36" s="8"/>
      <c r="U36" s="8"/>
      <c r="V36" s="8"/>
      <c r="W36" s="22" t="s">
        <v>100</v>
      </c>
      <c r="X36" s="8"/>
      <c r="Y36" s="8"/>
      <c r="Z36" s="8"/>
      <c r="AA36" s="8"/>
      <c r="AB36" s="8"/>
      <c r="AC36" s="8"/>
      <c r="AD36" s="8"/>
      <c r="AE36" s="8"/>
      <c r="AF36" s="8"/>
      <c r="AG36" s="22">
        <f>AG29+AG33</f>
        <v>0.15916030759780761</v>
      </c>
    </row>
    <row r="37" spans="1:33">
      <c r="A37" s="3" t="s">
        <v>89</v>
      </c>
      <c r="B37" s="3"/>
      <c r="S37" s="7"/>
    </row>
    <row r="38" spans="1:33">
      <c r="A38" s="3" t="s">
        <v>90</v>
      </c>
      <c r="B38" s="3" t="s">
        <v>23</v>
      </c>
      <c r="I38" s="55" t="s">
        <v>109</v>
      </c>
      <c r="J38" s="55"/>
      <c r="K38" s="24" t="s">
        <v>80</v>
      </c>
      <c r="L38" s="24" t="s">
        <v>67</v>
      </c>
      <c r="S38" s="7">
        <f>S36+L39</f>
        <v>0.27329907212719712</v>
      </c>
      <c r="AG38" s="10"/>
    </row>
    <row r="39" spans="1:33">
      <c r="A39" t="s">
        <v>91</v>
      </c>
      <c r="B39">
        <v>1250</v>
      </c>
      <c r="I39" t="s">
        <v>98</v>
      </c>
      <c r="J39" s="19"/>
      <c r="K39">
        <v>0.75</v>
      </c>
      <c r="L39" s="7">
        <f>$K$39*$AG$29</f>
        <v>0.10406121538934039</v>
      </c>
      <c r="S39" s="7">
        <f>S36+L40</f>
        <v>0.18454687204687203</v>
      </c>
      <c r="X39" s="19"/>
      <c r="AG39" s="10"/>
    </row>
    <row r="40" spans="1:33">
      <c r="A40" t="s">
        <v>92</v>
      </c>
      <c r="B40">
        <v>125</v>
      </c>
      <c r="I40" t="s">
        <v>97</v>
      </c>
      <c r="K40">
        <v>0.75</v>
      </c>
      <c r="L40" s="7">
        <f>$K$40*$AG$33</f>
        <v>1.5309015309015309E-2</v>
      </c>
      <c r="S40" s="7">
        <f>S36+L40</f>
        <v>0.18454687204687203</v>
      </c>
    </row>
    <row r="41" spans="1:33">
      <c r="A41" t="s">
        <v>93</v>
      </c>
      <c r="B41">
        <v>25</v>
      </c>
      <c r="L41" s="7">
        <f>SUM(L39:L40)</f>
        <v>0.1193702306983557</v>
      </c>
      <c r="S41" s="7"/>
    </row>
    <row r="42" spans="1:33">
      <c r="A42" t="s">
        <v>94</v>
      </c>
      <c r="B42">
        <v>10</v>
      </c>
      <c r="I42" s="8" t="s">
        <v>101</v>
      </c>
      <c r="J42" s="8"/>
      <c r="K42" s="8"/>
      <c r="L42" s="8"/>
      <c r="M42" s="8"/>
      <c r="N42" s="8"/>
      <c r="O42" s="8"/>
      <c r="P42" s="8"/>
      <c r="Q42" s="8"/>
      <c r="R42" s="8"/>
      <c r="S42" s="9">
        <f>S36+L41</f>
        <v>0.28860808743621247</v>
      </c>
    </row>
    <row r="43" spans="1:33">
      <c r="A43" t="s">
        <v>95</v>
      </c>
      <c r="B43">
        <v>5</v>
      </c>
      <c r="S43" s="18"/>
    </row>
    <row r="45" spans="1:33">
      <c r="I45" s="3" t="s">
        <v>110</v>
      </c>
      <c r="J45" s="3"/>
      <c r="K45" s="3" t="s">
        <v>80</v>
      </c>
      <c r="L45" s="3" t="s">
        <v>111</v>
      </c>
      <c r="M45" s="3" t="s">
        <v>82</v>
      </c>
    </row>
    <row r="46" spans="1:33">
      <c r="A46" s="3" t="s">
        <v>113</v>
      </c>
      <c r="B46" s="3"/>
      <c r="C46" s="3"/>
      <c r="I46" s="8"/>
      <c r="J46" s="8"/>
      <c r="K46" s="8">
        <f>$D$14*3/$D$18</f>
        <v>0.27272727272727271</v>
      </c>
      <c r="L46" s="8">
        <v>0.65</v>
      </c>
      <c r="M46" s="8">
        <f>K46*L46*$A$47</f>
        <v>0.35454545454545455</v>
      </c>
      <c r="N46" s="8"/>
      <c r="O46" s="8"/>
      <c r="P46" s="8"/>
      <c r="Q46" s="8"/>
      <c r="R46" s="8"/>
      <c r="S46" s="9">
        <f>S42+M46</f>
        <v>0.64315354198166697</v>
      </c>
    </row>
    <row r="47" spans="1:33">
      <c r="A47">
        <v>2</v>
      </c>
      <c r="AD47" s="7"/>
    </row>
    <row r="48" spans="1:33">
      <c r="AD48" s="7"/>
    </row>
    <row r="49" spans="1:32">
      <c r="A49" t="s">
        <v>114</v>
      </c>
      <c r="C49">
        <v>2</v>
      </c>
      <c r="D49">
        <v>3</v>
      </c>
      <c r="E49">
        <v>4</v>
      </c>
      <c r="F49">
        <v>5</v>
      </c>
      <c r="K49" s="7"/>
    </row>
    <row r="50" spans="1:32">
      <c r="A50" t="s">
        <v>112</v>
      </c>
      <c r="C50">
        <v>1</v>
      </c>
      <c r="D50">
        <v>1</v>
      </c>
      <c r="E50">
        <v>1</v>
      </c>
      <c r="F50">
        <v>3</v>
      </c>
      <c r="H50">
        <f>SUM(C50:F50)</f>
        <v>6</v>
      </c>
    </row>
    <row r="51" spans="1:32">
      <c r="A51" t="s">
        <v>115</v>
      </c>
      <c r="C51">
        <f>C50/$H$50</f>
        <v>0.16666666666666666</v>
      </c>
      <c r="D51">
        <f t="shared" ref="D51:F51" si="50">D50/$H$50</f>
        <v>0.16666666666666666</v>
      </c>
      <c r="E51">
        <f t="shared" si="50"/>
        <v>0.16666666666666666</v>
      </c>
      <c r="F51">
        <f t="shared" si="50"/>
        <v>0.5</v>
      </c>
    </row>
    <row r="52" spans="1:32">
      <c r="A52" t="s">
        <v>116</v>
      </c>
      <c r="C52">
        <f>SUMPRODUCT(C49:G49,C51:G51)</f>
        <v>4</v>
      </c>
    </row>
    <row r="53" spans="1:32">
      <c r="A53" t="s">
        <v>116</v>
      </c>
      <c r="B53" t="s">
        <v>117</v>
      </c>
      <c r="C53">
        <f>$A$47/$C$52</f>
        <v>0.5</v>
      </c>
      <c r="J53" s="20"/>
    </row>
    <row r="55" spans="1:32">
      <c r="A55" s="25" t="s">
        <v>23</v>
      </c>
      <c r="B55" s="25" t="s">
        <v>81</v>
      </c>
      <c r="C55" s="3" t="s">
        <v>80</v>
      </c>
    </row>
    <row r="56" spans="1:32">
      <c r="A56" s="26">
        <v>0.2</v>
      </c>
      <c r="B56" s="26">
        <v>75000</v>
      </c>
      <c r="C56" s="27">
        <f>B56/$B$63</f>
        <v>0.75</v>
      </c>
      <c r="Q56" s="23"/>
      <c r="W56" s="10"/>
    </row>
    <row r="57" spans="1:32">
      <c r="A57" s="26">
        <v>0.5</v>
      </c>
      <c r="B57" s="26">
        <v>3000</v>
      </c>
      <c r="C57" s="27">
        <f t="shared" ref="C57:C62" si="51">B57/$B$63</f>
        <v>0.03</v>
      </c>
      <c r="W57" s="7"/>
    </row>
    <row r="58" spans="1:32">
      <c r="A58" s="26">
        <v>0.8</v>
      </c>
      <c r="B58" s="26">
        <v>3000</v>
      </c>
      <c r="C58" s="27">
        <f t="shared" si="51"/>
        <v>0.03</v>
      </c>
      <c r="Q58" s="20"/>
    </row>
    <row r="59" spans="1:32">
      <c r="A59" s="26">
        <v>1</v>
      </c>
      <c r="B59" s="26">
        <v>3000</v>
      </c>
      <c r="C59" s="27">
        <f t="shared" si="51"/>
        <v>0.03</v>
      </c>
    </row>
    <row r="60" spans="1:32">
      <c r="A60" s="26">
        <v>1.2</v>
      </c>
      <c r="B60" s="26">
        <v>3000</v>
      </c>
      <c r="C60" s="27">
        <f t="shared" si="51"/>
        <v>0.03</v>
      </c>
      <c r="J60" s="20"/>
    </row>
    <row r="61" spans="1:32">
      <c r="A61" s="26">
        <v>1.5</v>
      </c>
      <c r="B61" s="26">
        <v>3000</v>
      </c>
      <c r="C61" s="27">
        <f t="shared" si="51"/>
        <v>0.03</v>
      </c>
      <c r="AE61" s="7"/>
    </row>
    <row r="62" spans="1:32">
      <c r="A62" s="26">
        <v>2</v>
      </c>
      <c r="B62" s="26">
        <v>10000</v>
      </c>
      <c r="C62" s="27">
        <f t="shared" si="51"/>
        <v>0.1</v>
      </c>
      <c r="S62" s="18"/>
      <c r="AF62" s="7"/>
    </row>
    <row r="63" spans="1:32">
      <c r="A63" s="27"/>
      <c r="B63" s="28">
        <f>SUM(B56:B62)</f>
        <v>100000</v>
      </c>
      <c r="C63" s="28">
        <f>SUM(C56:C62)</f>
        <v>1.0000000000000002</v>
      </c>
    </row>
    <row r="65" spans="1:1">
      <c r="A65">
        <f>SUMPRODUCT(A56:A62,C56:C62)</f>
        <v>0.5</v>
      </c>
    </row>
  </sheetData>
  <mergeCells count="3">
    <mergeCell ref="A1:F1"/>
    <mergeCell ref="B19:F19"/>
    <mergeCell ref="I38:J3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5174-0FD3-4BAF-8879-D1F80EACD630}">
  <dimension ref="A1:BK65"/>
  <sheetViews>
    <sheetView zoomScaleNormal="100" workbookViewId="0">
      <selection activeCell="U2" sqref="U2"/>
    </sheetView>
  </sheetViews>
  <sheetFormatPr defaultRowHeight="14.5"/>
  <cols>
    <col min="2" max="2" width="9.453125" bestFit="1" customWidth="1"/>
    <col min="8" max="8" width="8.7265625" customWidth="1"/>
    <col min="9" max="9" width="7.7265625" customWidth="1"/>
    <col min="10" max="10" width="8.7265625" customWidth="1"/>
    <col min="11" max="11" width="9.90625" customWidth="1"/>
    <col min="12" max="14" width="8.7265625" customWidth="1"/>
    <col min="15" max="16" width="10.81640625" customWidth="1"/>
    <col min="17" max="17" width="10.26953125" customWidth="1"/>
    <col min="18" max="18" width="13.54296875" customWidth="1"/>
    <col min="20" max="20" width="19.36328125" customWidth="1"/>
    <col min="21" max="21" width="8.81640625" customWidth="1"/>
    <col min="22" max="26" width="8.7265625" customWidth="1"/>
    <col min="27" max="27" width="13.08984375" customWidth="1"/>
    <col min="28" max="28" width="12.81640625" customWidth="1"/>
    <col min="29" max="29" width="14.90625" customWidth="1"/>
    <col min="30" max="30" width="14" customWidth="1"/>
    <col min="31" max="31" width="13.6328125" customWidth="1"/>
    <col min="32" max="32" width="13" customWidth="1"/>
    <col min="33" max="33" width="13.1796875" customWidth="1"/>
    <col min="35" max="35" width="19.36328125" customWidth="1"/>
    <col min="36" max="36" width="8.7265625" customWidth="1"/>
    <col min="37" max="37" width="9.90625" customWidth="1"/>
    <col min="38" max="40" width="8.7265625" customWidth="1"/>
    <col min="41" max="41" width="9.81640625" customWidth="1"/>
    <col min="42" max="42" width="10.6328125" customWidth="1"/>
    <col min="43" max="43" width="11.54296875" customWidth="1"/>
    <col min="44" max="44" width="10.26953125" customWidth="1"/>
    <col min="45" max="45" width="10.90625" customWidth="1"/>
    <col min="46" max="47" width="8.7265625" customWidth="1"/>
    <col min="48" max="48" width="10.26953125" customWidth="1"/>
    <col min="50" max="50" width="19.81640625" customWidth="1"/>
    <col min="58" max="58" width="8.81640625" bestFit="1" customWidth="1"/>
    <col min="59" max="59" width="8.90625" bestFit="1" customWidth="1"/>
    <col min="60" max="62" width="8.81640625" bestFit="1" customWidth="1"/>
    <col min="63" max="63" width="10.453125" bestFit="1" customWidth="1"/>
  </cols>
  <sheetData>
    <row r="1" spans="1:63">
      <c r="A1" s="53" t="s">
        <v>13</v>
      </c>
      <c r="B1" s="53" t="s">
        <v>13</v>
      </c>
      <c r="C1" s="53" t="s">
        <v>13</v>
      </c>
      <c r="D1" s="53" t="s">
        <v>13</v>
      </c>
      <c r="E1" s="53" t="s">
        <v>13</v>
      </c>
      <c r="F1" s="53" t="s">
        <v>13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31</v>
      </c>
      <c r="O1" s="3" t="s">
        <v>62</v>
      </c>
      <c r="P1" s="3" t="s">
        <v>63</v>
      </c>
      <c r="Q1" s="3" t="s">
        <v>32</v>
      </c>
      <c r="R1" s="3" t="s">
        <v>35</v>
      </c>
      <c r="T1" s="3" t="s">
        <v>83</v>
      </c>
      <c r="U1" s="3" t="s">
        <v>24</v>
      </c>
      <c r="V1" s="3" t="s">
        <v>25</v>
      </c>
      <c r="W1" s="3" t="s">
        <v>26</v>
      </c>
      <c r="X1" s="3" t="s">
        <v>27</v>
      </c>
      <c r="Y1" s="3" t="s">
        <v>28</v>
      </c>
      <c r="Z1" s="3" t="s">
        <v>31</v>
      </c>
      <c r="AA1" s="3" t="s">
        <v>62</v>
      </c>
      <c r="AB1" s="3" t="s">
        <v>63</v>
      </c>
      <c r="AC1" s="3" t="s">
        <v>32</v>
      </c>
      <c r="AD1" s="3" t="s">
        <v>35</v>
      </c>
      <c r="AI1" s="3" t="s">
        <v>83</v>
      </c>
      <c r="AJ1" s="3" t="s">
        <v>24</v>
      </c>
      <c r="AK1" s="3" t="s">
        <v>25</v>
      </c>
      <c r="AL1" s="3" t="s">
        <v>26</v>
      </c>
      <c r="AM1" s="3" t="s">
        <v>27</v>
      </c>
      <c r="AN1" s="3" t="s">
        <v>28</v>
      </c>
      <c r="AO1" s="3" t="s">
        <v>31</v>
      </c>
      <c r="AP1" s="3" t="s">
        <v>62</v>
      </c>
      <c r="AQ1" s="3" t="s">
        <v>63</v>
      </c>
      <c r="AR1" s="3" t="s">
        <v>32</v>
      </c>
      <c r="AS1" s="3" t="s">
        <v>35</v>
      </c>
      <c r="AX1" s="3" t="s">
        <v>83</v>
      </c>
      <c r="AY1" s="3" t="s">
        <v>24</v>
      </c>
      <c r="AZ1" s="3" t="s">
        <v>25</v>
      </c>
      <c r="BA1" s="3" t="s">
        <v>26</v>
      </c>
      <c r="BB1" s="3" t="s">
        <v>27</v>
      </c>
      <c r="BC1" s="3" t="s">
        <v>28</v>
      </c>
      <c r="BD1" s="3" t="s">
        <v>31</v>
      </c>
      <c r="BE1" s="3" t="s">
        <v>62</v>
      </c>
      <c r="BF1" s="3" t="s">
        <v>63</v>
      </c>
      <c r="BG1" s="3" t="s">
        <v>32</v>
      </c>
      <c r="BH1" s="3" t="s">
        <v>35</v>
      </c>
    </row>
    <row r="2" spans="1:63">
      <c r="A2" s="1" t="s">
        <v>0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H2" s="12" t="s">
        <v>29</v>
      </c>
      <c r="I2" s="8">
        <f>B3+B4</f>
        <v>2</v>
      </c>
      <c r="J2" s="8">
        <f>$C$3+$C$4</f>
        <v>1</v>
      </c>
      <c r="K2" s="8">
        <f>D3+D4</f>
        <v>6</v>
      </c>
      <c r="L2" s="8">
        <f>E3+E4</f>
        <v>32</v>
      </c>
      <c r="M2" s="8">
        <f>F3+F4</f>
        <v>3</v>
      </c>
      <c r="N2" s="8">
        <f>PRODUCT(I2:M2)</f>
        <v>1152</v>
      </c>
      <c r="O2" s="9">
        <f t="shared" ref="O2:O28" si="0">N2/$B$19</f>
        <v>1.4822134387351778E-5</v>
      </c>
      <c r="P2" s="9">
        <f t="shared" ref="P2:P28" si="1">O2*$A$22</f>
        <v>1.4822134387351778E-5</v>
      </c>
      <c r="Q2" s="9">
        <f>P2*B25</f>
        <v>1.1116600790513833E-3</v>
      </c>
      <c r="R2" s="9">
        <f t="shared" ref="R2:R28" si="2">Q2/$B$22</f>
        <v>1.1116600790513832E-4</v>
      </c>
      <c r="T2" s="29" t="s">
        <v>118</v>
      </c>
      <c r="U2" s="30">
        <f>$B$3+$B$4</f>
        <v>2</v>
      </c>
      <c r="V2" s="30">
        <f>$C$14</f>
        <v>3</v>
      </c>
      <c r="W2" s="30">
        <f>$D$3+$D$4</f>
        <v>6</v>
      </c>
      <c r="X2" s="30">
        <f>$E$3+$E$4</f>
        <v>32</v>
      </c>
      <c r="Y2" s="30">
        <f>$F$3+$F$4</f>
        <v>3</v>
      </c>
      <c r="Z2" s="30">
        <f>PRODUCT(U2:Y2)</f>
        <v>3456</v>
      </c>
      <c r="AA2" s="31">
        <f>Z2/$B$19</f>
        <v>4.4466403162055333E-5</v>
      </c>
      <c r="AB2" s="32">
        <f>AA2*20</f>
        <v>8.8932806324110668E-4</v>
      </c>
      <c r="AC2" s="33">
        <f>AB2*B25</f>
        <v>6.6699604743083007E-2</v>
      </c>
      <c r="AD2" s="33">
        <f>AC2/$B$22</f>
        <v>6.6699604743083009E-3</v>
      </c>
      <c r="AE2" s="7">
        <v>6.669225E-3</v>
      </c>
      <c r="AF2" s="7">
        <f t="shared" ref="AF2:AF3" si="3">AD2-AE2</f>
        <v>7.3547430830094018E-7</v>
      </c>
      <c r="AG2" s="7">
        <f>AF2/AD2</f>
        <v>1.1026666666674835E-4</v>
      </c>
      <c r="AI2" s="29" t="s">
        <v>169</v>
      </c>
      <c r="AJ2" s="30">
        <f>$B$3+$B$7</f>
        <v>2</v>
      </c>
      <c r="AK2" s="30">
        <f>$C$14</f>
        <v>3</v>
      </c>
      <c r="AL2" s="30">
        <f>$D$3+$D$7</f>
        <v>2</v>
      </c>
      <c r="AM2" s="30">
        <f>$E$3+$E$7</f>
        <v>28</v>
      </c>
      <c r="AN2" s="30">
        <f>$F$3+$F$7</f>
        <v>6</v>
      </c>
      <c r="AO2" s="30">
        <f>PRODUCT(AJ2:AN2)</f>
        <v>2016</v>
      </c>
      <c r="AP2" s="31">
        <f>AO2/$B$19</f>
        <v>2.5938735177865611E-5</v>
      </c>
      <c r="AQ2" s="33">
        <f>AP2*20</f>
        <v>5.1877470355731219E-4</v>
      </c>
      <c r="AR2" s="33">
        <f>AQ2*$B$28</f>
        <v>2.5938735177865609E-2</v>
      </c>
      <c r="AS2" s="33">
        <f>AR2/$B$22</f>
        <v>2.593873517786561E-3</v>
      </c>
      <c r="AT2" s="36">
        <v>2.5936499999999999E-3</v>
      </c>
      <c r="AU2" s="36">
        <f t="shared" ref="AU2:AU3" si="4">AS2-AT2</f>
        <v>2.235177865611733E-7</v>
      </c>
      <c r="AV2" s="36">
        <f>AU2/AS2</f>
        <v>8.6171428571393298E-5</v>
      </c>
      <c r="AX2" s="30" t="s">
        <v>220</v>
      </c>
      <c r="AY2" s="30">
        <f>$B$3+$B$10</f>
        <v>7</v>
      </c>
      <c r="AZ2" s="30">
        <f>$C$14</f>
        <v>3</v>
      </c>
      <c r="BA2" s="30">
        <f>$D$3+$D$10</f>
        <v>2</v>
      </c>
      <c r="BB2" s="30">
        <f>$E$3+$E$10</f>
        <v>30</v>
      </c>
      <c r="BC2" s="30">
        <f>$F$3+$F$10</f>
        <v>6</v>
      </c>
      <c r="BD2" s="30">
        <f>PRODUCT(AY2:BC2)</f>
        <v>7560</v>
      </c>
      <c r="BE2" s="30">
        <f>BD2/$B$19</f>
        <v>9.7270256916996042E-5</v>
      </c>
      <c r="BF2" s="33">
        <f>BE2*20</f>
        <v>1.9454051383399208E-3</v>
      </c>
      <c r="BG2" s="33">
        <f>BF2*$B$31</f>
        <v>4.8635128458498017E-2</v>
      </c>
      <c r="BH2" s="33">
        <f>BG2/$B$22</f>
        <v>4.863512845849802E-3</v>
      </c>
      <c r="BI2" s="36">
        <v>4.8616500000000003E-3</v>
      </c>
      <c r="BJ2" s="36">
        <f t="shared" ref="BJ2:BJ3" si="5">BH2-BI2</f>
        <v>1.8628458498017031E-6</v>
      </c>
      <c r="BK2" s="36">
        <f>BJ2/BH2</f>
        <v>3.830247619046245E-4</v>
      </c>
    </row>
    <row r="3" spans="1:63">
      <c r="A3" t="s">
        <v>19</v>
      </c>
      <c r="B3">
        <v>0</v>
      </c>
      <c r="C3" s="8">
        <v>1</v>
      </c>
      <c r="D3" s="8">
        <v>0</v>
      </c>
      <c r="E3" s="8">
        <v>28</v>
      </c>
      <c r="F3">
        <v>0</v>
      </c>
      <c r="H3" t="s">
        <v>36</v>
      </c>
      <c r="I3">
        <f>I2</f>
        <v>2</v>
      </c>
      <c r="J3">
        <f>$C$3+$C$4</f>
        <v>1</v>
      </c>
      <c r="K3">
        <f t="shared" ref="K3:L3" si="6">K2</f>
        <v>6</v>
      </c>
      <c r="L3">
        <f t="shared" si="6"/>
        <v>32</v>
      </c>
      <c r="M3">
        <f>F18-M2</f>
        <v>45</v>
      </c>
      <c r="N3">
        <f>PRODUCT(I3:M3)</f>
        <v>17280</v>
      </c>
      <c r="O3" s="7">
        <f t="shared" si="0"/>
        <v>2.2233201581027667E-4</v>
      </c>
      <c r="P3" s="7">
        <f t="shared" si="1"/>
        <v>2.2233201581027667E-4</v>
      </c>
      <c r="Q3" s="7">
        <f>P3*C25</f>
        <v>5.558300395256917E-3</v>
      </c>
      <c r="R3" s="7">
        <f t="shared" si="2"/>
        <v>5.5583003952569174E-4</v>
      </c>
      <c r="T3" s="30" t="s">
        <v>119</v>
      </c>
      <c r="U3" s="30">
        <f t="shared" ref="U3:U8" si="7">$B$3+$B$4</f>
        <v>2</v>
      </c>
      <c r="V3" s="30">
        <f>$C$3+$C$4</f>
        <v>1</v>
      </c>
      <c r="W3" s="30">
        <f t="shared" ref="W3" si="8">$D$14</f>
        <v>3</v>
      </c>
      <c r="X3" s="30">
        <f>$E$3+$E$4</f>
        <v>32</v>
      </c>
      <c r="Y3" s="30">
        <f>$F$3+$F$4</f>
        <v>3</v>
      </c>
      <c r="Z3" s="30">
        <f t="shared" ref="Z3:Z4" si="9">PRODUCT(U3:Y3)</f>
        <v>576</v>
      </c>
      <c r="AA3" s="31">
        <f t="shared" ref="AA3:AA4" si="10">Z3/$B$19</f>
        <v>7.4110671936758891E-6</v>
      </c>
      <c r="AB3" s="32">
        <f t="shared" ref="AB3:AB4" si="11">AA3*20</f>
        <v>1.4822134387351777E-4</v>
      </c>
      <c r="AC3" s="33">
        <f>AB3*$B$25</f>
        <v>1.1116600790513832E-2</v>
      </c>
      <c r="AD3" s="33">
        <f t="shared" ref="AD3:AD4" si="12">AC3/$B$22</f>
        <v>1.1116600790513833E-3</v>
      </c>
      <c r="AE3" s="7">
        <v>1.106325E-3</v>
      </c>
      <c r="AF3" s="7">
        <f t="shared" si="3"/>
        <v>5.3350790513832531E-6</v>
      </c>
      <c r="AG3" s="7">
        <f t="shared" ref="AG3:AG41" si="13">AF3/AD3</f>
        <v>4.799199999999869E-3</v>
      </c>
      <c r="AI3" s="30" t="s">
        <v>170</v>
      </c>
      <c r="AJ3" s="30">
        <f t="shared" ref="AJ3:AJ20" si="14">$B$3+$B$7</f>
        <v>2</v>
      </c>
      <c r="AK3" s="30">
        <f>$C$3+$C$7</f>
        <v>9</v>
      </c>
      <c r="AL3" s="30">
        <f t="shared" ref="AL3" si="15">$D$14</f>
        <v>3</v>
      </c>
      <c r="AM3" s="30">
        <f>$E$3+$E$7</f>
        <v>28</v>
      </c>
      <c r="AN3" s="30">
        <f t="shared" ref="AN3:AN8" si="16">$F$3+$F$7</f>
        <v>6</v>
      </c>
      <c r="AO3" s="30">
        <f t="shared" ref="AO3:AO4" si="17">PRODUCT(AJ3:AN3)</f>
        <v>9072</v>
      </c>
      <c r="AP3" s="31">
        <f t="shared" ref="AP3:AP4" si="18">AO3/$B$19</f>
        <v>1.1672430830039525E-4</v>
      </c>
      <c r="AQ3" s="33">
        <f t="shared" ref="AQ3:AQ4" si="19">AP3*20</f>
        <v>2.3344861660079051E-3</v>
      </c>
      <c r="AR3" s="33">
        <f t="shared" ref="AR3:AR8" si="20">AQ3*$B$28</f>
        <v>0.11672430830039525</v>
      </c>
      <c r="AS3" s="33">
        <f t="shared" ref="AS3:AS4" si="21">AR3/$B$22</f>
        <v>1.1672430830039524E-2</v>
      </c>
      <c r="AT3" s="36">
        <v>1.16515E-2</v>
      </c>
      <c r="AU3" s="36">
        <f t="shared" si="4"/>
        <v>2.0930830039523826E-5</v>
      </c>
      <c r="AV3" s="36">
        <f t="shared" ref="AV3:AV8" si="22">AU3/AS3</f>
        <v>1.7931851851850256E-3</v>
      </c>
      <c r="AX3" s="30" t="s">
        <v>221</v>
      </c>
      <c r="AY3" s="30">
        <f t="shared" ref="AY3:AY16" si="23">$B$3+$B$10</f>
        <v>7</v>
      </c>
      <c r="AZ3" s="30">
        <f>$C$3+$C$10</f>
        <v>3</v>
      </c>
      <c r="BA3" s="30">
        <f t="shared" ref="BA3" si="24">$D$14</f>
        <v>3</v>
      </c>
      <c r="BB3" s="30">
        <f>$E$3+$E$10</f>
        <v>30</v>
      </c>
      <c r="BC3" s="30">
        <f t="shared" ref="BC3:BC8" si="25">$F$3+$F$10</f>
        <v>6</v>
      </c>
      <c r="BD3" s="30">
        <f t="shared" ref="BD3:BD4" si="26">PRODUCT(AY3:BC3)</f>
        <v>11340</v>
      </c>
      <c r="BE3" s="30">
        <f t="shared" ref="BE3:BE4" si="27">BD3/$B$19</f>
        <v>1.4590538537549407E-4</v>
      </c>
      <c r="BF3" s="33">
        <f t="shared" ref="BF3:BF4" si="28">BE3*20</f>
        <v>2.9181077075098815E-3</v>
      </c>
      <c r="BG3" s="33">
        <f t="shared" ref="BG3:BG8" si="29">BF3*$B$31</f>
        <v>7.2952692687747039E-2</v>
      </c>
      <c r="BH3" s="33">
        <f t="shared" ref="BH3:BH4" si="30">BG3/$B$22</f>
        <v>7.2952692687747039E-3</v>
      </c>
      <c r="BI3" s="36">
        <v>7.2952249999999998E-3</v>
      </c>
      <c r="BJ3" s="36">
        <f t="shared" si="5"/>
        <v>4.4268774704141201E-8</v>
      </c>
      <c r="BK3" s="36">
        <f t="shared" ref="BK3:BK8" si="31">BJ3/BH3</f>
        <v>6.068148148228184E-6</v>
      </c>
    </row>
    <row r="4" spans="1:63">
      <c r="A4" s="17" t="s">
        <v>4</v>
      </c>
      <c r="B4" s="17">
        <v>2</v>
      </c>
      <c r="C4" s="8">
        <v>0</v>
      </c>
      <c r="D4" s="8">
        <v>6</v>
      </c>
      <c r="E4" s="8">
        <v>4</v>
      </c>
      <c r="F4" s="17">
        <v>3</v>
      </c>
      <c r="H4" t="s">
        <v>37</v>
      </c>
      <c r="I4">
        <f>I2</f>
        <v>2</v>
      </c>
      <c r="J4">
        <f t="shared" ref="J4:K4" si="32">J2</f>
        <v>1</v>
      </c>
      <c r="K4">
        <f t="shared" si="32"/>
        <v>6</v>
      </c>
      <c r="L4">
        <f>E18-L2</f>
        <v>23</v>
      </c>
      <c r="M4">
        <v>48</v>
      </c>
      <c r="N4">
        <f>PRODUCT(I4:M4)</f>
        <v>13248</v>
      </c>
      <c r="O4" s="7">
        <f t="shared" si="0"/>
        <v>1.7045454545454547E-4</v>
      </c>
      <c r="P4" s="7">
        <f t="shared" si="1"/>
        <v>1.7045454545454547E-4</v>
      </c>
      <c r="Q4" s="7">
        <f>P4*D25</f>
        <v>3.4090909090909094E-4</v>
      </c>
      <c r="R4" s="7">
        <f t="shared" si="2"/>
        <v>3.4090909090909092E-5</v>
      </c>
      <c r="T4" s="30" t="s">
        <v>120</v>
      </c>
      <c r="U4" s="30">
        <f t="shared" si="7"/>
        <v>2</v>
      </c>
      <c r="V4" s="30">
        <f>$C$3+$C$4</f>
        <v>1</v>
      </c>
      <c r="W4" s="30">
        <f>$D$3+$D$4</f>
        <v>6</v>
      </c>
      <c r="X4" s="30">
        <f>$E$14</f>
        <v>3</v>
      </c>
      <c r="Y4" s="30">
        <f>$F$3+F4</f>
        <v>3</v>
      </c>
      <c r="Z4" s="30">
        <f t="shared" si="9"/>
        <v>108</v>
      </c>
      <c r="AA4" s="31">
        <f t="shared" si="10"/>
        <v>1.3895750988142291E-6</v>
      </c>
      <c r="AB4" s="32">
        <f t="shared" si="11"/>
        <v>2.7791501976284584E-5</v>
      </c>
      <c r="AC4" s="33">
        <f>AB4*$B$25</f>
        <v>2.084362648221344E-3</v>
      </c>
      <c r="AD4" s="33">
        <f t="shared" si="12"/>
        <v>2.084362648221344E-4</v>
      </c>
      <c r="AE4" s="7">
        <v>2.1405E-4</v>
      </c>
      <c r="AF4" s="7">
        <f>AD4-AE4</f>
        <v>-5.613735177865595E-6</v>
      </c>
      <c r="AG4" s="7">
        <f t="shared" si="13"/>
        <v>-2.6932622222222136E-2</v>
      </c>
      <c r="AI4" s="30" t="s">
        <v>171</v>
      </c>
      <c r="AJ4" s="30">
        <f t="shared" si="14"/>
        <v>2</v>
      </c>
      <c r="AK4" s="30">
        <f>$C$3+$C$7</f>
        <v>9</v>
      </c>
      <c r="AL4" s="30">
        <f>$D$3+$D$7</f>
        <v>2</v>
      </c>
      <c r="AM4" s="30">
        <f>$E$14</f>
        <v>3</v>
      </c>
      <c r="AN4" s="30">
        <f t="shared" si="16"/>
        <v>6</v>
      </c>
      <c r="AO4" s="30">
        <f t="shared" si="17"/>
        <v>648</v>
      </c>
      <c r="AP4" s="31">
        <f t="shared" si="18"/>
        <v>8.3374505928853761E-6</v>
      </c>
      <c r="AQ4" s="33">
        <f t="shared" si="19"/>
        <v>1.6674901185770752E-4</v>
      </c>
      <c r="AR4" s="33">
        <f t="shared" si="20"/>
        <v>8.3374505928853759E-3</v>
      </c>
      <c r="AS4" s="33">
        <f t="shared" si="21"/>
        <v>8.3374505928853761E-4</v>
      </c>
      <c r="AT4" s="36">
        <v>8.3365000000000002E-4</v>
      </c>
      <c r="AU4" s="36">
        <f>AS4-AT4</f>
        <v>9.5059288537598964E-8</v>
      </c>
      <c r="AV4" s="36">
        <f t="shared" si="22"/>
        <v>1.1401481481487425E-4</v>
      </c>
      <c r="AX4" s="30" t="s">
        <v>222</v>
      </c>
      <c r="AY4" s="30">
        <f t="shared" si="23"/>
        <v>7</v>
      </c>
      <c r="AZ4" s="30">
        <f>$C$3+$C$10</f>
        <v>3</v>
      </c>
      <c r="BA4" s="30">
        <f>$D$3+$D$10</f>
        <v>2</v>
      </c>
      <c r="BB4" s="30">
        <f>$E$14</f>
        <v>3</v>
      </c>
      <c r="BC4" s="30">
        <f t="shared" si="25"/>
        <v>6</v>
      </c>
      <c r="BD4" s="30">
        <f t="shared" si="26"/>
        <v>756</v>
      </c>
      <c r="BE4" s="30">
        <f t="shared" si="27"/>
        <v>9.7270256916996055E-6</v>
      </c>
      <c r="BF4" s="33">
        <f t="shared" si="28"/>
        <v>1.9454051383399211E-4</v>
      </c>
      <c r="BG4" s="33">
        <f t="shared" si="29"/>
        <v>4.8635128458498029E-3</v>
      </c>
      <c r="BH4" s="33">
        <f t="shared" si="30"/>
        <v>4.863512845849803E-4</v>
      </c>
      <c r="BI4" s="36">
        <v>4.8509999999999997E-4</v>
      </c>
      <c r="BJ4" s="36">
        <f>BH4-BI4</f>
        <v>1.251284584980329E-6</v>
      </c>
      <c r="BK4" s="36">
        <f t="shared" si="31"/>
        <v>2.5728000000001887E-3</v>
      </c>
    </row>
    <row r="5" spans="1:63">
      <c r="A5" t="s">
        <v>5</v>
      </c>
      <c r="B5">
        <v>3</v>
      </c>
      <c r="C5" s="8">
        <v>0</v>
      </c>
      <c r="D5" s="8">
        <v>4</v>
      </c>
      <c r="E5" s="8">
        <v>4</v>
      </c>
      <c r="F5">
        <v>4</v>
      </c>
      <c r="H5" s="12" t="s">
        <v>38</v>
      </c>
      <c r="I5" s="8">
        <f>B3+B5</f>
        <v>3</v>
      </c>
      <c r="J5" s="8">
        <f>C3+C5</f>
        <v>1</v>
      </c>
      <c r="K5" s="8">
        <f>D3+D5</f>
        <v>4</v>
      </c>
      <c r="L5" s="8">
        <f>E3+E5</f>
        <v>32</v>
      </c>
      <c r="M5" s="8">
        <f>F3+F5</f>
        <v>4</v>
      </c>
      <c r="N5" s="8">
        <f t="shared" ref="N5:N28" si="33">PRODUCT(I5:M5)</f>
        <v>1536</v>
      </c>
      <c r="O5" s="9">
        <f t="shared" si="0"/>
        <v>1.9762845849802372E-5</v>
      </c>
      <c r="P5" s="9">
        <f t="shared" si="1"/>
        <v>1.9762845849802372E-5</v>
      </c>
      <c r="Q5" s="9">
        <f>P5*B26</f>
        <v>9.8814229249011851E-4</v>
      </c>
      <c r="R5" s="9">
        <f t="shared" si="2"/>
        <v>9.8814229249011856E-5</v>
      </c>
      <c r="T5" s="29" t="s">
        <v>121</v>
      </c>
      <c r="U5" s="30">
        <f t="shared" si="7"/>
        <v>2</v>
      </c>
      <c r="V5" s="30">
        <f>$C$14</f>
        <v>3</v>
      </c>
      <c r="W5" s="30">
        <f>$D$14</f>
        <v>3</v>
      </c>
      <c r="X5" s="30">
        <f>$E$3+$E$4</f>
        <v>32</v>
      </c>
      <c r="Y5" s="30">
        <f>$F$3+$F$4</f>
        <v>3</v>
      </c>
      <c r="Z5" s="30">
        <f>PRODUCT(U5:Y5)</f>
        <v>1728</v>
      </c>
      <c r="AA5" s="31">
        <f>Z5/$B$19</f>
        <v>2.2233201581027666E-5</v>
      </c>
      <c r="AB5" s="32">
        <f>AA5*$A$22</f>
        <v>2.2233201581027666E-5</v>
      </c>
      <c r="AC5" s="33">
        <f>AB5*$B$25</f>
        <v>1.667490118577075E-3</v>
      </c>
      <c r="AD5" s="33">
        <f>AC5/$B$22</f>
        <v>1.667490118577075E-4</v>
      </c>
      <c r="AE5" s="7">
        <v>3.3317249999999998E-3</v>
      </c>
      <c r="AF5" s="7">
        <f t="shared" ref="AF5:AF41" si="34">AD5-AE5</f>
        <v>-3.1649759881422924E-3</v>
      </c>
      <c r="AG5" s="7">
        <f t="shared" si="13"/>
        <v>-18.980478222222224</v>
      </c>
      <c r="AI5" s="29" t="s">
        <v>185</v>
      </c>
      <c r="AJ5" s="30">
        <f t="shared" si="14"/>
        <v>2</v>
      </c>
      <c r="AK5" s="30">
        <f>$C$14</f>
        <v>3</v>
      </c>
      <c r="AL5" s="30">
        <f>$D$14</f>
        <v>3</v>
      </c>
      <c r="AM5" s="30">
        <f>$E$3+$E$7</f>
        <v>28</v>
      </c>
      <c r="AN5" s="30">
        <f t="shared" si="16"/>
        <v>6</v>
      </c>
      <c r="AO5" s="30">
        <f>PRODUCT(AJ5:AN5)</f>
        <v>3024</v>
      </c>
      <c r="AP5" s="31">
        <f>AO5/$B$19</f>
        <v>3.8908102766798422E-5</v>
      </c>
      <c r="AQ5" s="33">
        <f>AP5*$A$22</f>
        <v>3.8908102766798422E-5</v>
      </c>
      <c r="AR5" s="33">
        <f t="shared" si="20"/>
        <v>1.945405138339921E-3</v>
      </c>
      <c r="AS5" s="33">
        <f>AR5/$B$22</f>
        <v>1.9454051383399211E-4</v>
      </c>
      <c r="AT5" s="36">
        <v>3.8830000000000002E-3</v>
      </c>
      <c r="AU5" s="36">
        <f t="shared" ref="AU5:AU6" si="35">AS5-AT5</f>
        <v>-3.6884594861660079E-3</v>
      </c>
      <c r="AV5" s="36">
        <f t="shared" si="22"/>
        <v>-18.959852698412696</v>
      </c>
      <c r="AX5" s="30" t="s">
        <v>223</v>
      </c>
      <c r="AY5" s="30">
        <f t="shared" si="23"/>
        <v>7</v>
      </c>
      <c r="AZ5" s="30">
        <f>$C$14</f>
        <v>3</v>
      </c>
      <c r="BA5" s="30">
        <f>$D$14</f>
        <v>3</v>
      </c>
      <c r="BB5" s="30">
        <f>$E$3+$E$10</f>
        <v>30</v>
      </c>
      <c r="BC5" s="30">
        <f t="shared" si="25"/>
        <v>6</v>
      </c>
      <c r="BD5" s="30">
        <f>PRODUCT(AY5:BC5)</f>
        <v>11340</v>
      </c>
      <c r="BE5" s="30">
        <f>BD5/$B$19</f>
        <v>1.4590538537549407E-4</v>
      </c>
      <c r="BF5" s="33">
        <f>BE5*$A$22</f>
        <v>1.4590538537549407E-4</v>
      </c>
      <c r="BG5" s="33">
        <f t="shared" si="29"/>
        <v>3.6476346343873515E-3</v>
      </c>
      <c r="BH5" s="33">
        <f>BG5/$B$22</f>
        <v>3.6476346343873513E-4</v>
      </c>
      <c r="BI5" s="36">
        <v>7.2887250000000002E-3</v>
      </c>
      <c r="BJ5" s="36">
        <f t="shared" ref="BJ5:BJ6" si="36">BH5-BI5</f>
        <v>-6.9239615365612652E-3</v>
      </c>
      <c r="BK5" s="36">
        <f t="shared" si="31"/>
        <v>-18.982058869841275</v>
      </c>
    </row>
    <row r="6" spans="1:63">
      <c r="A6" s="17" t="s">
        <v>6</v>
      </c>
      <c r="B6" s="17">
        <v>3</v>
      </c>
      <c r="C6" s="8">
        <v>0</v>
      </c>
      <c r="D6" s="8">
        <v>0</v>
      </c>
      <c r="E6" s="8">
        <v>0</v>
      </c>
      <c r="F6" s="17">
        <v>6</v>
      </c>
      <c r="H6" t="s">
        <v>39</v>
      </c>
      <c r="I6">
        <f>I5</f>
        <v>3</v>
      </c>
      <c r="J6">
        <f t="shared" ref="J6:L6" si="37">J5</f>
        <v>1</v>
      </c>
      <c r="K6">
        <f t="shared" si="37"/>
        <v>4</v>
      </c>
      <c r="L6">
        <f t="shared" si="37"/>
        <v>32</v>
      </c>
      <c r="M6">
        <f>F18-M5</f>
        <v>44</v>
      </c>
      <c r="N6">
        <f t="shared" si="33"/>
        <v>16896</v>
      </c>
      <c r="O6" s="7">
        <f t="shared" si="0"/>
        <v>2.173913043478261E-4</v>
      </c>
      <c r="P6" s="7">
        <f t="shared" si="1"/>
        <v>2.173913043478261E-4</v>
      </c>
      <c r="Q6" s="7">
        <f>P6*C26</f>
        <v>2.6086956521739132E-3</v>
      </c>
      <c r="R6" s="7">
        <f t="shared" si="2"/>
        <v>2.6086956521739134E-4</v>
      </c>
      <c r="T6" s="30" t="s">
        <v>122</v>
      </c>
      <c r="U6" s="30">
        <f t="shared" si="7"/>
        <v>2</v>
      </c>
      <c r="V6" s="30">
        <f>$C$14</f>
        <v>3</v>
      </c>
      <c r="W6" s="30">
        <f>$D$3+$D$4</f>
        <v>6</v>
      </c>
      <c r="X6" s="30">
        <f>$E$14</f>
        <v>3</v>
      </c>
      <c r="Y6" s="30">
        <f>$F$3+$F$4</f>
        <v>3</v>
      </c>
      <c r="Z6" s="30">
        <f t="shared" ref="Z6:Z20" si="38">PRODUCT(U6:Y6)</f>
        <v>324</v>
      </c>
      <c r="AA6" s="31">
        <f t="shared" ref="AA6:AA20" si="39">Z6/$B$19</f>
        <v>4.1687252964426881E-6</v>
      </c>
      <c r="AB6" s="32">
        <f t="shared" ref="AB6:AB20" si="40">AA6*$A$22</f>
        <v>4.1687252964426881E-6</v>
      </c>
      <c r="AC6" s="33">
        <f t="shared" ref="AC6:AC8" si="41">AB6*$B$25</f>
        <v>3.1265439723320162E-4</v>
      </c>
      <c r="AD6" s="33">
        <f t="shared" ref="AD6:AD20" si="42">AC6/$B$22</f>
        <v>3.1265439723320161E-5</v>
      </c>
      <c r="AE6" s="7">
        <v>6.2040000000000001E-4</v>
      </c>
      <c r="AF6" s="7">
        <f t="shared" si="34"/>
        <v>-5.8913456027667982E-4</v>
      </c>
      <c r="AG6" s="7">
        <f t="shared" si="13"/>
        <v>-18.842996148148146</v>
      </c>
      <c r="AI6" s="30" t="s">
        <v>172</v>
      </c>
      <c r="AJ6" s="30">
        <f t="shared" si="14"/>
        <v>2</v>
      </c>
      <c r="AK6" s="30">
        <f>$C$14</f>
        <v>3</v>
      </c>
      <c r="AL6" s="30">
        <f>$D$3+$D$7</f>
        <v>2</v>
      </c>
      <c r="AM6" s="30">
        <f>$E$14</f>
        <v>3</v>
      </c>
      <c r="AN6" s="30">
        <f t="shared" si="16"/>
        <v>6</v>
      </c>
      <c r="AO6" s="30">
        <f t="shared" ref="AO6:AO8" si="43">PRODUCT(AJ6:AN6)</f>
        <v>216</v>
      </c>
      <c r="AP6" s="31">
        <f t="shared" ref="AP6:AP8" si="44">AO6/$B$19</f>
        <v>2.7791501976284583E-6</v>
      </c>
      <c r="AQ6" s="33">
        <f t="shared" ref="AQ6:AQ8" si="45">AP6*$A$22</f>
        <v>2.7791501976284583E-6</v>
      </c>
      <c r="AR6" s="33">
        <f t="shared" si="20"/>
        <v>1.3895750988142291E-4</v>
      </c>
      <c r="AS6" s="33">
        <f t="shared" ref="AS6:AS8" si="46">AR6/$B$22</f>
        <v>1.389575098814229E-5</v>
      </c>
      <c r="AT6" s="36">
        <v>2.7545E-4</v>
      </c>
      <c r="AU6" s="36">
        <f t="shared" si="35"/>
        <v>-2.6155424901185773E-4</v>
      </c>
      <c r="AV6" s="36">
        <f t="shared" si="22"/>
        <v>-18.822606222222227</v>
      </c>
      <c r="AX6" s="30" t="s">
        <v>224</v>
      </c>
      <c r="AY6" s="30">
        <f t="shared" si="23"/>
        <v>7</v>
      </c>
      <c r="AZ6" s="30">
        <f>$C$14</f>
        <v>3</v>
      </c>
      <c r="BA6" s="30">
        <f>$D$3+$D$10</f>
        <v>2</v>
      </c>
      <c r="BB6" s="30">
        <f>$E$14</f>
        <v>3</v>
      </c>
      <c r="BC6" s="30">
        <f t="shared" si="25"/>
        <v>6</v>
      </c>
      <c r="BD6" s="30">
        <f t="shared" ref="BD6:BD8" si="47">PRODUCT(AY6:BC6)</f>
        <v>756</v>
      </c>
      <c r="BE6" s="30">
        <f t="shared" ref="BE6:BE8" si="48">BD6/$B$19</f>
        <v>9.7270256916996055E-6</v>
      </c>
      <c r="BF6" s="33">
        <f t="shared" ref="BF6:BF8" si="49">BE6*$A$22</f>
        <v>9.7270256916996055E-6</v>
      </c>
      <c r="BG6" s="33">
        <f t="shared" si="29"/>
        <v>2.4317564229249012E-4</v>
      </c>
      <c r="BH6" s="33">
        <f t="shared" ref="BH6:BH8" si="50">BG6/$B$22</f>
        <v>2.4317564229249014E-5</v>
      </c>
      <c r="BI6" s="36">
        <v>4.8385000000000002E-4</v>
      </c>
      <c r="BJ6" s="36">
        <f t="shared" si="36"/>
        <v>-4.5953243577075099E-4</v>
      </c>
      <c r="BK6" s="36">
        <f t="shared" si="31"/>
        <v>-18.897140825396825</v>
      </c>
    </row>
    <row r="7" spans="1:63">
      <c r="A7" t="s">
        <v>7</v>
      </c>
      <c r="B7">
        <v>2</v>
      </c>
      <c r="C7" s="8">
        <v>8</v>
      </c>
      <c r="D7" s="8">
        <v>2</v>
      </c>
      <c r="E7" s="8">
        <v>0</v>
      </c>
      <c r="F7">
        <v>6</v>
      </c>
      <c r="H7" t="s">
        <v>40</v>
      </c>
      <c r="I7">
        <f>I5</f>
        <v>3</v>
      </c>
      <c r="J7">
        <f t="shared" ref="J7:K7" si="51">J5</f>
        <v>1</v>
      </c>
      <c r="K7">
        <f t="shared" si="51"/>
        <v>4</v>
      </c>
      <c r="L7">
        <f>$E$18-$E$3-$E$5</f>
        <v>23</v>
      </c>
      <c r="M7">
        <f>F18</f>
        <v>48</v>
      </c>
      <c r="N7">
        <f t="shared" si="33"/>
        <v>13248</v>
      </c>
      <c r="O7" s="7">
        <f t="shared" si="0"/>
        <v>1.7045454545454547E-4</v>
      </c>
      <c r="P7" s="7">
        <f t="shared" si="1"/>
        <v>1.7045454545454547E-4</v>
      </c>
      <c r="Q7" s="7">
        <f>P7*D26</f>
        <v>3.4090909090909094E-4</v>
      </c>
      <c r="R7" s="7">
        <f t="shared" si="2"/>
        <v>3.4090909090909092E-5</v>
      </c>
      <c r="T7" s="30" t="s">
        <v>123</v>
      </c>
      <c r="U7" s="30">
        <f t="shared" si="7"/>
        <v>2</v>
      </c>
      <c r="V7" s="30">
        <f>$C$3+$C$4</f>
        <v>1</v>
      </c>
      <c r="W7" s="30">
        <f>$D$14</f>
        <v>3</v>
      </c>
      <c r="X7" s="30">
        <f>$E$14</f>
        <v>3</v>
      </c>
      <c r="Y7" s="30">
        <f>$F$3+$F$4</f>
        <v>3</v>
      </c>
      <c r="Z7" s="30">
        <f t="shared" si="38"/>
        <v>54</v>
      </c>
      <c r="AA7" s="31">
        <f t="shared" si="39"/>
        <v>6.9478754940711457E-7</v>
      </c>
      <c r="AB7" s="32">
        <f t="shared" si="40"/>
        <v>6.9478754940711457E-7</v>
      </c>
      <c r="AC7" s="33">
        <f t="shared" si="41"/>
        <v>5.2109066205533594E-5</v>
      </c>
      <c r="AD7" s="33">
        <f t="shared" si="42"/>
        <v>5.2109066205533592E-6</v>
      </c>
      <c r="AE7" s="7">
        <v>1.07025E-4</v>
      </c>
      <c r="AF7" s="7">
        <v>0</v>
      </c>
      <c r="AG7" s="7">
        <f t="shared" si="13"/>
        <v>0</v>
      </c>
      <c r="AI7" s="30" t="s">
        <v>173</v>
      </c>
      <c r="AJ7" s="30">
        <f t="shared" si="14"/>
        <v>2</v>
      </c>
      <c r="AK7" s="30">
        <f>$C$3+$C$7</f>
        <v>9</v>
      </c>
      <c r="AL7" s="30">
        <f>$D$14</f>
        <v>3</v>
      </c>
      <c r="AM7" s="30">
        <f>$E$14</f>
        <v>3</v>
      </c>
      <c r="AN7" s="30">
        <f t="shared" si="16"/>
        <v>6</v>
      </c>
      <c r="AO7" s="30">
        <f t="shared" si="43"/>
        <v>972</v>
      </c>
      <c r="AP7" s="31">
        <f t="shared" si="44"/>
        <v>1.2506175889328063E-5</v>
      </c>
      <c r="AQ7" s="33">
        <f t="shared" si="45"/>
        <v>1.2506175889328063E-5</v>
      </c>
      <c r="AR7" s="33">
        <f t="shared" si="20"/>
        <v>6.2530879446640313E-4</v>
      </c>
      <c r="AS7" s="33">
        <f t="shared" si="46"/>
        <v>6.2530879446640308E-5</v>
      </c>
      <c r="AT7" s="36">
        <v>1.24485E-3</v>
      </c>
      <c r="AU7" s="36">
        <v>0</v>
      </c>
      <c r="AV7" s="36">
        <f t="shared" si="22"/>
        <v>0</v>
      </c>
      <c r="AX7" s="30" t="s">
        <v>225</v>
      </c>
      <c r="AY7" s="30">
        <f t="shared" si="23"/>
        <v>7</v>
      </c>
      <c r="AZ7" s="30">
        <f>$C$3+$C$10</f>
        <v>3</v>
      </c>
      <c r="BA7" s="30">
        <f>$D$14</f>
        <v>3</v>
      </c>
      <c r="BB7" s="30">
        <f>$E$14</f>
        <v>3</v>
      </c>
      <c r="BC7" s="30">
        <f t="shared" si="25"/>
        <v>6</v>
      </c>
      <c r="BD7" s="30">
        <f t="shared" si="47"/>
        <v>1134</v>
      </c>
      <c r="BE7" s="30">
        <f t="shared" si="48"/>
        <v>1.4590538537549407E-5</v>
      </c>
      <c r="BF7" s="33">
        <f t="shared" si="49"/>
        <v>1.4590538537549407E-5</v>
      </c>
      <c r="BG7" s="33">
        <f t="shared" si="29"/>
        <v>3.6476346343873519E-4</v>
      </c>
      <c r="BH7" s="33">
        <f t="shared" si="50"/>
        <v>3.6476346343873517E-5</v>
      </c>
      <c r="BI7" s="36">
        <v>7.2437499999999998E-4</v>
      </c>
      <c r="BJ7" s="36">
        <v>0</v>
      </c>
      <c r="BK7" s="36">
        <f t="shared" si="31"/>
        <v>0</v>
      </c>
    </row>
    <row r="8" spans="1:63">
      <c r="A8" s="17" t="s">
        <v>8</v>
      </c>
      <c r="B8" s="17">
        <v>4</v>
      </c>
      <c r="C8" s="8">
        <v>8</v>
      </c>
      <c r="D8" s="8">
        <v>4</v>
      </c>
      <c r="E8" s="8">
        <v>6</v>
      </c>
      <c r="F8" s="17">
        <v>5</v>
      </c>
      <c r="H8" s="8" t="s">
        <v>41</v>
      </c>
      <c r="I8" s="8">
        <f>B3+B6</f>
        <v>3</v>
      </c>
      <c r="J8" s="8">
        <f>C3+C6</f>
        <v>1</v>
      </c>
      <c r="K8" s="8">
        <f>D3+D6</f>
        <v>0</v>
      </c>
      <c r="L8" s="8">
        <f>E3+E6</f>
        <v>28</v>
      </c>
      <c r="M8" s="8">
        <f>F3+F6</f>
        <v>6</v>
      </c>
      <c r="N8" s="8">
        <f t="shared" si="33"/>
        <v>0</v>
      </c>
      <c r="O8" s="9">
        <f t="shared" si="0"/>
        <v>0</v>
      </c>
      <c r="P8" s="9">
        <f t="shared" si="1"/>
        <v>0</v>
      </c>
      <c r="Q8" s="9">
        <f>P8*B27</f>
        <v>0</v>
      </c>
      <c r="R8" s="9">
        <f t="shared" si="2"/>
        <v>0</v>
      </c>
      <c r="T8" s="30" t="s">
        <v>124</v>
      </c>
      <c r="U8" s="30">
        <f t="shared" si="7"/>
        <v>2</v>
      </c>
      <c r="V8" s="30">
        <f>$C$14</f>
        <v>3</v>
      </c>
      <c r="W8" s="30">
        <f>$D$14</f>
        <v>3</v>
      </c>
      <c r="X8" s="30">
        <f>$E$14</f>
        <v>3</v>
      </c>
      <c r="Y8" s="30">
        <f>$F$3+$F$4</f>
        <v>3</v>
      </c>
      <c r="Z8" s="30">
        <f t="shared" si="38"/>
        <v>162</v>
      </c>
      <c r="AA8" s="31">
        <f t="shared" si="39"/>
        <v>2.084362648221344E-6</v>
      </c>
      <c r="AB8" s="32">
        <f t="shared" si="40"/>
        <v>2.084362648221344E-6</v>
      </c>
      <c r="AC8" s="33">
        <f t="shared" si="41"/>
        <v>1.5632719861660081E-4</v>
      </c>
      <c r="AD8" s="33">
        <f t="shared" si="42"/>
        <v>1.563271986166008E-5</v>
      </c>
      <c r="AE8" s="7">
        <v>3.2422499999999998E-4</v>
      </c>
      <c r="AF8" s="7">
        <f t="shared" si="34"/>
        <v>-3.0859228013833988E-4</v>
      </c>
      <c r="AG8" s="7">
        <f t="shared" si="13"/>
        <v>-19.740152888888886</v>
      </c>
      <c r="AI8" s="30" t="s">
        <v>174</v>
      </c>
      <c r="AJ8" s="30">
        <f t="shared" si="14"/>
        <v>2</v>
      </c>
      <c r="AK8" s="30">
        <f>$C$14</f>
        <v>3</v>
      </c>
      <c r="AL8" s="30">
        <f>$D$14</f>
        <v>3</v>
      </c>
      <c r="AM8" s="30">
        <f>$E$14</f>
        <v>3</v>
      </c>
      <c r="AN8" s="30">
        <f t="shared" si="16"/>
        <v>6</v>
      </c>
      <c r="AO8" s="30">
        <f t="shared" si="43"/>
        <v>324</v>
      </c>
      <c r="AP8" s="31">
        <f t="shared" si="44"/>
        <v>4.1687252964426881E-6</v>
      </c>
      <c r="AQ8" s="33">
        <f t="shared" si="45"/>
        <v>4.1687252964426881E-6</v>
      </c>
      <c r="AR8" s="33">
        <f t="shared" si="20"/>
        <v>2.084362648221344E-4</v>
      </c>
      <c r="AS8" s="33">
        <f t="shared" si="46"/>
        <v>2.084362648221344E-5</v>
      </c>
      <c r="AT8" s="36">
        <v>4.2079999999999998E-4</v>
      </c>
      <c r="AU8" s="36">
        <f t="shared" ref="AU8" si="52">AS8-AT8</f>
        <v>-3.9995637351778656E-4</v>
      </c>
      <c r="AV8" s="36">
        <f t="shared" si="22"/>
        <v>-19.188425481481481</v>
      </c>
      <c r="AX8" s="30" t="s">
        <v>226</v>
      </c>
      <c r="AY8" s="30">
        <f t="shared" si="23"/>
        <v>7</v>
      </c>
      <c r="AZ8" s="30">
        <f>$C$14</f>
        <v>3</v>
      </c>
      <c r="BA8" s="30">
        <f>$D$14</f>
        <v>3</v>
      </c>
      <c r="BB8" s="30">
        <f>$E$14</f>
        <v>3</v>
      </c>
      <c r="BC8" s="30">
        <f t="shared" si="25"/>
        <v>6</v>
      </c>
      <c r="BD8" s="30">
        <f t="shared" si="47"/>
        <v>1134</v>
      </c>
      <c r="BE8" s="30">
        <f t="shared" si="48"/>
        <v>1.4590538537549407E-5</v>
      </c>
      <c r="BF8" s="33">
        <f t="shared" si="49"/>
        <v>1.4590538537549407E-5</v>
      </c>
      <c r="BG8" s="33">
        <f t="shared" si="29"/>
        <v>3.6476346343873519E-4</v>
      </c>
      <c r="BH8" s="33">
        <f t="shared" si="50"/>
        <v>3.6476346343873517E-5</v>
      </c>
      <c r="BI8" s="36">
        <v>7.2314999999999999E-4</v>
      </c>
      <c r="BJ8" s="36">
        <f t="shared" ref="BJ8" si="53">BH8-BI8</f>
        <v>-6.8667365365612646E-4</v>
      </c>
      <c r="BK8" s="36">
        <f t="shared" si="31"/>
        <v>-18.825176380952382</v>
      </c>
    </row>
    <row r="9" spans="1:63">
      <c r="A9" t="s">
        <v>9</v>
      </c>
      <c r="B9">
        <v>7</v>
      </c>
      <c r="C9" s="8">
        <v>2</v>
      </c>
      <c r="D9" s="8">
        <v>2</v>
      </c>
      <c r="E9" s="8">
        <v>0</v>
      </c>
      <c r="F9">
        <v>6</v>
      </c>
      <c r="H9" t="s">
        <v>42</v>
      </c>
      <c r="I9">
        <f>I8</f>
        <v>3</v>
      </c>
      <c r="J9">
        <f t="shared" ref="J9:L10" si="54">J8</f>
        <v>1</v>
      </c>
      <c r="K9">
        <f t="shared" si="54"/>
        <v>0</v>
      </c>
      <c r="L9">
        <f t="shared" si="54"/>
        <v>28</v>
      </c>
      <c r="M9">
        <f>F18-M8</f>
        <v>42</v>
      </c>
      <c r="N9">
        <f t="shared" si="33"/>
        <v>0</v>
      </c>
      <c r="O9" s="7">
        <f t="shared" si="0"/>
        <v>0</v>
      </c>
      <c r="P9" s="7">
        <f t="shared" si="1"/>
        <v>0</v>
      </c>
      <c r="Q9" s="7">
        <f>P9*C27</f>
        <v>0</v>
      </c>
      <c r="R9" s="7">
        <f t="shared" si="2"/>
        <v>0</v>
      </c>
      <c r="AA9" s="15"/>
      <c r="AB9" s="10"/>
      <c r="AC9" s="7"/>
      <c r="AD9" s="7">
        <f>SUM(AD2:AD8)</f>
        <v>8.2089148962450585E-3</v>
      </c>
      <c r="AE9" s="7">
        <f t="shared" ref="AE9:AG9" si="55">SUM(AE2:AE8)</f>
        <v>1.2372975E-2</v>
      </c>
      <c r="AF9" s="7">
        <f t="shared" si="55"/>
        <v>-4.0622460103754933E-3</v>
      </c>
      <c r="AG9" s="7">
        <f t="shared" si="55"/>
        <v>-57.585650414814808</v>
      </c>
      <c r="AP9" s="15"/>
      <c r="AQ9" s="7"/>
      <c r="AR9" s="7"/>
      <c r="AS9" s="7">
        <f>SUM(AS2:AS8)</f>
        <v>1.5391860177865611E-2</v>
      </c>
      <c r="AT9" s="36">
        <f t="shared" ref="AT9:AV9" si="56">SUM(AT2:AT8)</f>
        <v>2.0902899999999999E-2</v>
      </c>
      <c r="AU9" s="36">
        <f t="shared" si="56"/>
        <v>-4.3287207015810297E-3</v>
      </c>
      <c r="AV9" s="36">
        <f t="shared" si="56"/>
        <v>-56.968891030687836</v>
      </c>
      <c r="BF9" s="7"/>
      <c r="BG9" s="7"/>
      <c r="BH9" s="7">
        <f>SUM(BH2:BH8)</f>
        <v>1.310716711956522E-2</v>
      </c>
      <c r="BI9" s="7">
        <f t="shared" ref="BI9:BK9" si="57">SUM(BI2:BI8)</f>
        <v>2.1862075000000002E-2</v>
      </c>
      <c r="BJ9" s="7">
        <f t="shared" si="57"/>
        <v>-8.0670092267786566E-3</v>
      </c>
      <c r="BK9" s="7">
        <f t="shared" si="57"/>
        <v>-56.701414183280434</v>
      </c>
    </row>
    <row r="10" spans="1:63">
      <c r="A10" s="17" t="s">
        <v>10</v>
      </c>
      <c r="B10" s="17">
        <v>7</v>
      </c>
      <c r="C10" s="8">
        <v>2</v>
      </c>
      <c r="D10" s="8">
        <v>2</v>
      </c>
      <c r="E10" s="8">
        <v>2</v>
      </c>
      <c r="F10" s="17">
        <v>6</v>
      </c>
      <c r="H10" t="s">
        <v>43</v>
      </c>
      <c r="I10">
        <f>I9</f>
        <v>3</v>
      </c>
      <c r="J10">
        <f t="shared" si="54"/>
        <v>1</v>
      </c>
      <c r="K10">
        <f t="shared" si="54"/>
        <v>0</v>
      </c>
      <c r="L10">
        <f>E18-L9</f>
        <v>27</v>
      </c>
      <c r="M10">
        <f>F18</f>
        <v>48</v>
      </c>
      <c r="N10">
        <f t="shared" si="33"/>
        <v>0</v>
      </c>
      <c r="O10" s="7">
        <f t="shared" si="0"/>
        <v>0</v>
      </c>
      <c r="P10" s="7">
        <f t="shared" si="1"/>
        <v>0</v>
      </c>
      <c r="Q10" s="7">
        <f>P10*D27</f>
        <v>0</v>
      </c>
      <c r="R10" s="7">
        <f t="shared" si="2"/>
        <v>0</v>
      </c>
      <c r="T10" s="30" t="s">
        <v>125</v>
      </c>
      <c r="U10" s="30">
        <f>$B$3+$B$4</f>
        <v>2</v>
      </c>
      <c r="V10" s="30">
        <f>$C$14</f>
        <v>3</v>
      </c>
      <c r="W10" s="30">
        <f>$D$3+$D$4</f>
        <v>6</v>
      </c>
      <c r="X10" s="30">
        <f>$E$3+$E$4</f>
        <v>32</v>
      </c>
      <c r="Y10" s="30">
        <f t="shared" ref="Y10:Y16" si="58">$F$18-$F$3-$F$4-$F$14</f>
        <v>45</v>
      </c>
      <c r="Z10" s="30">
        <f t="shared" si="38"/>
        <v>51840</v>
      </c>
      <c r="AA10" s="31">
        <f t="shared" si="39"/>
        <v>6.6699604743083009E-4</v>
      </c>
      <c r="AB10" s="32">
        <f t="shared" si="40"/>
        <v>6.6699604743083009E-4</v>
      </c>
      <c r="AC10" s="33">
        <f>AB10*$C$25</f>
        <v>1.6674901185770752E-2</v>
      </c>
      <c r="AD10" s="33">
        <f t="shared" si="42"/>
        <v>1.6674901185770752E-3</v>
      </c>
      <c r="AE10" s="7">
        <v>3.3325325000000003E-2</v>
      </c>
      <c r="AF10" s="7">
        <f t="shared" si="34"/>
        <v>-3.165783488142293E-2</v>
      </c>
      <c r="AG10" s="7">
        <f t="shared" si="13"/>
        <v>-18.985320829629632</v>
      </c>
      <c r="AI10" s="30" t="s">
        <v>175</v>
      </c>
      <c r="AJ10" s="30">
        <f t="shared" si="14"/>
        <v>2</v>
      </c>
      <c r="AK10" s="30">
        <f>$C$14</f>
        <v>3</v>
      </c>
      <c r="AL10" s="30">
        <f>$D$3+$D$7</f>
        <v>2</v>
      </c>
      <c r="AM10" s="30">
        <f>$E$3+$E$7</f>
        <v>28</v>
      </c>
      <c r="AN10" s="30">
        <f>$F$18-$F$3-$F$7-$F$14</f>
        <v>42</v>
      </c>
      <c r="AO10" s="30">
        <f t="shared" ref="AO10:AO20" si="59">PRODUCT(AJ10:AN10)</f>
        <v>14112</v>
      </c>
      <c r="AP10" s="31">
        <f t="shared" ref="AP10:AP20" si="60">AO10/$B$19</f>
        <v>1.8157114624505928E-4</v>
      </c>
      <c r="AQ10" s="33">
        <f t="shared" ref="AQ10:AQ20" si="61">AP10*$A$22</f>
        <v>1.8157114624505928E-4</v>
      </c>
      <c r="AR10" s="33">
        <f>AQ10*$C$28</f>
        <v>2.1788537549407112E-3</v>
      </c>
      <c r="AS10" s="33">
        <f t="shared" ref="AS10:AS20" si="62">AR10/$B$22</f>
        <v>2.1788537549407113E-4</v>
      </c>
      <c r="AT10" s="36">
        <v>4.3632719999999996E-3</v>
      </c>
      <c r="AU10" s="36">
        <f t="shared" ref="AU10:AU20" si="63">AS10-AT10</f>
        <v>-4.1453866245059288E-3</v>
      </c>
      <c r="AV10" s="36">
        <f t="shared" ref="AV10:AV16" si="64">AU10/AS10</f>
        <v>-19.025538612244898</v>
      </c>
      <c r="AX10" s="30" t="s">
        <v>227</v>
      </c>
      <c r="AY10" s="30">
        <f t="shared" si="23"/>
        <v>7</v>
      </c>
      <c r="AZ10" s="30">
        <f>$C$14</f>
        <v>3</v>
      </c>
      <c r="BA10" s="30">
        <f>$D$3+$D$10</f>
        <v>2</v>
      </c>
      <c r="BB10" s="30">
        <f>$E$3+$E$10</f>
        <v>30</v>
      </c>
      <c r="BC10" s="30">
        <f>$F$18-$F$3-$F$10-$F$14</f>
        <v>42</v>
      </c>
      <c r="BD10" s="30">
        <f t="shared" ref="BD10:BD16" si="65">PRODUCT(AY10:BC10)</f>
        <v>52920</v>
      </c>
      <c r="BE10" s="30">
        <f t="shared" ref="BE10:BE16" si="66">BD10/$B$19</f>
        <v>6.808917984189723E-4</v>
      </c>
      <c r="BF10" s="33">
        <f t="shared" ref="BF10:BF16" si="67">BE10*$A$22</f>
        <v>6.808917984189723E-4</v>
      </c>
      <c r="BG10" s="33">
        <f>BF10*$C$31</f>
        <v>3.4044589920948615E-3</v>
      </c>
      <c r="BH10" s="33">
        <f t="shared" ref="BH10:BH16" si="68">BG10/$B$22</f>
        <v>3.4044589920948615E-4</v>
      </c>
      <c r="BI10" s="36">
        <v>6.8120400000000001E-3</v>
      </c>
      <c r="BJ10" s="36">
        <f t="shared" ref="BJ10:BJ16" si="69">BH10-BI10</f>
        <v>-6.4715941007905137E-3</v>
      </c>
      <c r="BK10" s="36">
        <f t="shared" ref="BK10:BK16" si="70">BJ10/BH10</f>
        <v>-19.009170372789118</v>
      </c>
    </row>
    <row r="11" spans="1:63">
      <c r="A11" t="s">
        <v>11</v>
      </c>
      <c r="B11">
        <v>2</v>
      </c>
      <c r="C11" s="8">
        <v>6</v>
      </c>
      <c r="D11" s="8">
        <v>0</v>
      </c>
      <c r="E11" s="8">
        <v>0</v>
      </c>
      <c r="F11">
        <v>6</v>
      </c>
      <c r="H11" s="8" t="s">
        <v>44</v>
      </c>
      <c r="I11" s="8">
        <f>B3+B7</f>
        <v>2</v>
      </c>
      <c r="J11" s="8">
        <f>C3+C7</f>
        <v>9</v>
      </c>
      <c r="K11" s="8">
        <f>D3+D7</f>
        <v>2</v>
      </c>
      <c r="L11" s="8">
        <f>E3+E7</f>
        <v>28</v>
      </c>
      <c r="M11" s="8">
        <f>F3+F7</f>
        <v>6</v>
      </c>
      <c r="N11" s="8">
        <f t="shared" si="33"/>
        <v>6048</v>
      </c>
      <c r="O11" s="9">
        <f t="shared" si="0"/>
        <v>7.7816205533596844E-5</v>
      </c>
      <c r="P11" s="9">
        <f t="shared" si="1"/>
        <v>7.7816205533596844E-5</v>
      </c>
      <c r="Q11" s="9">
        <f>P11*B28</f>
        <v>3.890810276679842E-3</v>
      </c>
      <c r="R11" s="9">
        <f t="shared" si="2"/>
        <v>3.8908102766798422E-4</v>
      </c>
      <c r="T11" s="30" t="s">
        <v>126</v>
      </c>
      <c r="U11" s="30">
        <f t="shared" ref="U11:U16" si="71">$B$3+$B$4</f>
        <v>2</v>
      </c>
      <c r="V11" s="30">
        <f>$C$3+$C$4</f>
        <v>1</v>
      </c>
      <c r="W11" s="30">
        <f t="shared" ref="W11" si="72">$D$14</f>
        <v>3</v>
      </c>
      <c r="X11" s="30">
        <f>$E$3+$E$4</f>
        <v>32</v>
      </c>
      <c r="Y11" s="30">
        <f t="shared" si="58"/>
        <v>45</v>
      </c>
      <c r="Z11" s="30">
        <f t="shared" si="38"/>
        <v>8640</v>
      </c>
      <c r="AA11" s="31">
        <f t="shared" si="39"/>
        <v>1.1116600790513834E-4</v>
      </c>
      <c r="AB11" s="32">
        <f t="shared" si="40"/>
        <v>1.1116600790513834E-4</v>
      </c>
      <c r="AC11" s="33">
        <f t="shared" ref="AC11:AC16" si="73">AB11*$C$25</f>
        <v>2.7791501976284585E-3</v>
      </c>
      <c r="AD11" s="33">
        <f t="shared" si="42"/>
        <v>2.7791501976284587E-4</v>
      </c>
      <c r="AE11" s="7">
        <v>5.545075E-3</v>
      </c>
      <c r="AF11" s="7">
        <f t="shared" si="34"/>
        <v>-5.267159980237154E-3</v>
      </c>
      <c r="AG11" s="7">
        <f t="shared" si="13"/>
        <v>-18.952412088888888</v>
      </c>
      <c r="AI11" s="30" t="s">
        <v>176</v>
      </c>
      <c r="AJ11" s="30">
        <f t="shared" si="14"/>
        <v>2</v>
      </c>
      <c r="AK11" s="30">
        <f>$C$3+$C$7</f>
        <v>9</v>
      </c>
      <c r="AL11" s="30">
        <f t="shared" ref="AL11" si="74">$D$14</f>
        <v>3</v>
      </c>
      <c r="AM11" s="30">
        <f>$E$3+$E$7</f>
        <v>28</v>
      </c>
      <c r="AN11" s="30">
        <f t="shared" ref="AN11:AN16" si="75">$F$18-$F$3-$F$7-$F$14</f>
        <v>42</v>
      </c>
      <c r="AO11" s="30">
        <f t="shared" si="59"/>
        <v>63504</v>
      </c>
      <c r="AP11" s="31">
        <f t="shared" si="60"/>
        <v>8.1707015810276681E-4</v>
      </c>
      <c r="AQ11" s="33">
        <f t="shared" si="61"/>
        <v>8.1707015810276681E-4</v>
      </c>
      <c r="AR11" s="33">
        <f t="shared" ref="AR11:AR16" si="76">AQ11*$C$28</f>
        <v>9.8048418972332026E-3</v>
      </c>
      <c r="AS11" s="33">
        <f t="shared" si="62"/>
        <v>9.8048418972332017E-4</v>
      </c>
      <c r="AT11" s="36">
        <v>1.9592723999999999E-2</v>
      </c>
      <c r="AU11" s="36">
        <f t="shared" si="63"/>
        <v>-1.8612239810276678E-2</v>
      </c>
      <c r="AV11" s="36">
        <f t="shared" si="64"/>
        <v>-18.982702633408916</v>
      </c>
      <c r="AX11" s="30" t="s">
        <v>228</v>
      </c>
      <c r="AY11" s="30">
        <f t="shared" si="23"/>
        <v>7</v>
      </c>
      <c r="AZ11" s="30">
        <f>$C$3+$C$10</f>
        <v>3</v>
      </c>
      <c r="BA11" s="30">
        <f t="shared" ref="BA11" si="77">$D$14</f>
        <v>3</v>
      </c>
      <c r="BB11" s="30">
        <f>$E$3+$E$10</f>
        <v>30</v>
      </c>
      <c r="BC11" s="30">
        <f t="shared" ref="BC11:BC16" si="78">$F$18-$F$3-$F$10-$F$14</f>
        <v>42</v>
      </c>
      <c r="BD11" s="30">
        <f t="shared" si="65"/>
        <v>79380</v>
      </c>
      <c r="BE11" s="30">
        <f t="shared" si="66"/>
        <v>1.0213376976284585E-3</v>
      </c>
      <c r="BF11" s="33">
        <f t="shared" si="67"/>
        <v>1.0213376976284585E-3</v>
      </c>
      <c r="BG11" s="33">
        <f t="shared" ref="BG11:BG16" si="79">BF11*$C$31</f>
        <v>5.1066884881422921E-3</v>
      </c>
      <c r="BH11" s="33">
        <f t="shared" si="68"/>
        <v>5.1066884881422923E-4</v>
      </c>
      <c r="BI11" s="36">
        <v>1.0217189999999999E-2</v>
      </c>
      <c r="BJ11" s="36">
        <f t="shared" si="69"/>
        <v>-9.7065211511857697E-3</v>
      </c>
      <c r="BK11" s="36">
        <f t="shared" si="70"/>
        <v>-19.007466724716551</v>
      </c>
    </row>
    <row r="12" spans="1:63">
      <c r="A12" s="17" t="s">
        <v>12</v>
      </c>
      <c r="B12" s="17">
        <v>2</v>
      </c>
      <c r="C12" s="8">
        <v>6</v>
      </c>
      <c r="D12" s="8">
        <v>0</v>
      </c>
      <c r="E12" s="8">
        <v>4</v>
      </c>
      <c r="F12" s="17">
        <v>6</v>
      </c>
      <c r="H12" t="s">
        <v>45</v>
      </c>
      <c r="I12">
        <f>I11</f>
        <v>2</v>
      </c>
      <c r="J12">
        <f t="shared" ref="J12:L13" si="80">J11</f>
        <v>9</v>
      </c>
      <c r="K12">
        <f t="shared" si="80"/>
        <v>2</v>
      </c>
      <c r="L12">
        <f t="shared" si="80"/>
        <v>28</v>
      </c>
      <c r="M12">
        <f>F18-M11</f>
        <v>42</v>
      </c>
      <c r="N12">
        <f t="shared" si="33"/>
        <v>42336</v>
      </c>
      <c r="O12" s="7">
        <f t="shared" si="0"/>
        <v>5.4471343873517791E-4</v>
      </c>
      <c r="P12" s="7">
        <f t="shared" si="1"/>
        <v>5.4471343873517791E-4</v>
      </c>
      <c r="Q12" s="7">
        <f>P12*C28</f>
        <v>6.5365612648221345E-3</v>
      </c>
      <c r="R12" s="7">
        <f t="shared" si="2"/>
        <v>6.5365612648221345E-4</v>
      </c>
      <c r="T12" s="30" t="s">
        <v>127</v>
      </c>
      <c r="U12" s="30">
        <f t="shared" si="71"/>
        <v>2</v>
      </c>
      <c r="V12" s="30">
        <f>$C$3+$C$4</f>
        <v>1</v>
      </c>
      <c r="W12" s="30">
        <f>$D$3+$D$4</f>
        <v>6</v>
      </c>
      <c r="X12" s="30">
        <f>$E$14</f>
        <v>3</v>
      </c>
      <c r="Y12" s="30">
        <f t="shared" si="58"/>
        <v>45</v>
      </c>
      <c r="Z12" s="30">
        <f t="shared" si="38"/>
        <v>1620</v>
      </c>
      <c r="AA12" s="31">
        <f t="shared" si="39"/>
        <v>2.084362648221344E-5</v>
      </c>
      <c r="AB12" s="32">
        <f t="shared" si="40"/>
        <v>2.084362648221344E-5</v>
      </c>
      <c r="AC12" s="33">
        <f t="shared" si="73"/>
        <v>5.21090662055336E-4</v>
      </c>
      <c r="AD12" s="33">
        <f t="shared" si="42"/>
        <v>5.2109066205533601E-5</v>
      </c>
      <c r="AE12" s="7">
        <v>1.0583000000000001E-3</v>
      </c>
      <c r="AF12" s="7">
        <f t="shared" si="34"/>
        <v>-1.0061909337944666E-3</v>
      </c>
      <c r="AG12" s="7">
        <f t="shared" si="13"/>
        <v>-19.309325748148151</v>
      </c>
      <c r="AI12" s="30" t="s">
        <v>177</v>
      </c>
      <c r="AJ12" s="30">
        <f t="shared" si="14"/>
        <v>2</v>
      </c>
      <c r="AK12" s="30">
        <f>$C$3+$C$7</f>
        <v>9</v>
      </c>
      <c r="AL12" s="30">
        <f>$D$3+$D$7</f>
        <v>2</v>
      </c>
      <c r="AM12" s="30">
        <f>$E$14</f>
        <v>3</v>
      </c>
      <c r="AN12" s="30">
        <f t="shared" si="75"/>
        <v>42</v>
      </c>
      <c r="AO12" s="30">
        <f t="shared" si="59"/>
        <v>4536</v>
      </c>
      <c r="AP12" s="31">
        <f t="shared" si="60"/>
        <v>5.8362154150197626E-5</v>
      </c>
      <c r="AQ12" s="33">
        <f t="shared" si="61"/>
        <v>5.8362154150197626E-5</v>
      </c>
      <c r="AR12" s="33">
        <f t="shared" si="76"/>
        <v>7.0034584980237149E-4</v>
      </c>
      <c r="AS12" s="33">
        <f t="shared" si="62"/>
        <v>7.0034584980237143E-5</v>
      </c>
      <c r="AT12" s="36">
        <v>1.4109120000000001E-3</v>
      </c>
      <c r="AU12" s="36">
        <f t="shared" si="63"/>
        <v>-1.340877415019763E-3</v>
      </c>
      <c r="AV12" s="36">
        <f t="shared" si="64"/>
        <v>-19.145932190476195</v>
      </c>
      <c r="AX12" s="30" t="s">
        <v>229</v>
      </c>
      <c r="AY12" s="30">
        <f t="shared" si="23"/>
        <v>7</v>
      </c>
      <c r="AZ12" s="30">
        <f>$C$3+$C$10</f>
        <v>3</v>
      </c>
      <c r="BA12" s="30">
        <f>$D$3+$D$10</f>
        <v>2</v>
      </c>
      <c r="BB12" s="30">
        <f>$E$14</f>
        <v>3</v>
      </c>
      <c r="BC12" s="30">
        <f t="shared" si="78"/>
        <v>42</v>
      </c>
      <c r="BD12" s="30">
        <f t="shared" si="65"/>
        <v>5292</v>
      </c>
      <c r="BE12" s="30">
        <f t="shared" si="66"/>
        <v>6.8089179841897239E-5</v>
      </c>
      <c r="BF12" s="33">
        <f t="shared" si="67"/>
        <v>6.8089179841897239E-5</v>
      </c>
      <c r="BG12" s="33">
        <f t="shared" si="79"/>
        <v>3.4044589920948621E-4</v>
      </c>
      <c r="BH12" s="33">
        <f t="shared" si="68"/>
        <v>3.4044589920948619E-5</v>
      </c>
      <c r="BI12" s="36">
        <v>6.7785999999999996E-4</v>
      </c>
      <c r="BJ12" s="36">
        <f t="shared" si="69"/>
        <v>-6.4381541007905139E-4</v>
      </c>
      <c r="BK12" s="36">
        <f t="shared" si="70"/>
        <v>-18.910946249433106</v>
      </c>
    </row>
    <row r="13" spans="1:63">
      <c r="A13" t="s">
        <v>20</v>
      </c>
      <c r="B13">
        <v>0</v>
      </c>
      <c r="C13" s="8">
        <v>4</v>
      </c>
      <c r="D13" s="8">
        <v>0</v>
      </c>
      <c r="E13" s="8">
        <v>4</v>
      </c>
      <c r="F13">
        <v>0</v>
      </c>
      <c r="H13" t="s">
        <v>46</v>
      </c>
      <c r="I13">
        <f>I12</f>
        <v>2</v>
      </c>
      <c r="J13">
        <f t="shared" si="80"/>
        <v>9</v>
      </c>
      <c r="K13">
        <f t="shared" si="80"/>
        <v>2</v>
      </c>
      <c r="L13">
        <f>E18-L11</f>
        <v>27</v>
      </c>
      <c r="M13">
        <f>F18</f>
        <v>48</v>
      </c>
      <c r="N13">
        <f t="shared" si="33"/>
        <v>46656</v>
      </c>
      <c r="O13" s="7">
        <f t="shared" si="0"/>
        <v>6.0029644268774708E-4</v>
      </c>
      <c r="P13" s="7">
        <f t="shared" si="1"/>
        <v>6.0029644268774708E-4</v>
      </c>
      <c r="Q13" s="7">
        <f>P13*D28</f>
        <v>1.2005928853754942E-3</v>
      </c>
      <c r="R13" s="7">
        <f t="shared" si="2"/>
        <v>1.2005928853754941E-4</v>
      </c>
      <c r="T13" s="30" t="s">
        <v>128</v>
      </c>
      <c r="U13" s="30">
        <f t="shared" si="71"/>
        <v>2</v>
      </c>
      <c r="V13" s="30">
        <f>$C$14</f>
        <v>3</v>
      </c>
      <c r="W13" s="30">
        <f>$D$14</f>
        <v>3</v>
      </c>
      <c r="X13" s="30">
        <f>$E$3+$E$4</f>
        <v>32</v>
      </c>
      <c r="Y13" s="30">
        <f t="shared" si="58"/>
        <v>45</v>
      </c>
      <c r="Z13" s="30">
        <f t="shared" si="38"/>
        <v>25920</v>
      </c>
      <c r="AA13" s="31">
        <f t="shared" si="39"/>
        <v>3.3349802371541505E-4</v>
      </c>
      <c r="AB13" s="32">
        <f t="shared" si="40"/>
        <v>3.3349802371541505E-4</v>
      </c>
      <c r="AC13" s="33">
        <f t="shared" si="73"/>
        <v>8.3374505928853759E-3</v>
      </c>
      <c r="AD13" s="33">
        <f t="shared" si="42"/>
        <v>8.3374505928853761E-4</v>
      </c>
      <c r="AE13" s="7">
        <v>1.6683099999999999E-2</v>
      </c>
      <c r="AF13" s="7">
        <f t="shared" si="34"/>
        <v>-1.5849354940711463E-2</v>
      </c>
      <c r="AG13" s="7">
        <f t="shared" si="13"/>
        <v>-19.009833718518518</v>
      </c>
      <c r="AI13" s="30" t="s">
        <v>178</v>
      </c>
      <c r="AJ13" s="30">
        <f t="shared" si="14"/>
        <v>2</v>
      </c>
      <c r="AK13" s="30">
        <f>$C$14</f>
        <v>3</v>
      </c>
      <c r="AL13" s="30">
        <f>$D$14</f>
        <v>3</v>
      </c>
      <c r="AM13" s="30">
        <f>$E$3+$E$7</f>
        <v>28</v>
      </c>
      <c r="AN13" s="30">
        <f t="shared" si="75"/>
        <v>42</v>
      </c>
      <c r="AO13" s="30">
        <f t="shared" si="59"/>
        <v>21168</v>
      </c>
      <c r="AP13" s="31">
        <f t="shared" si="60"/>
        <v>2.7235671936758895E-4</v>
      </c>
      <c r="AQ13" s="33">
        <f t="shared" si="61"/>
        <v>2.7235671936758895E-4</v>
      </c>
      <c r="AR13" s="33">
        <f t="shared" si="76"/>
        <v>3.2682806324110672E-3</v>
      </c>
      <c r="AS13" s="33">
        <f t="shared" si="62"/>
        <v>3.2682806324110672E-4</v>
      </c>
      <c r="AT13" s="36">
        <v>6.5495639999999999E-3</v>
      </c>
      <c r="AU13" s="36">
        <f t="shared" si="63"/>
        <v>-6.2227359367588927E-3</v>
      </c>
      <c r="AV13" s="36">
        <f t="shared" si="64"/>
        <v>-19.039784634920633</v>
      </c>
      <c r="AX13" s="30" t="s">
        <v>230</v>
      </c>
      <c r="AY13" s="30">
        <f t="shared" si="23"/>
        <v>7</v>
      </c>
      <c r="AZ13" s="30">
        <f>$C$14</f>
        <v>3</v>
      </c>
      <c r="BA13" s="30">
        <f>$D$14</f>
        <v>3</v>
      </c>
      <c r="BB13" s="30">
        <f>$E$3+$E$10</f>
        <v>30</v>
      </c>
      <c r="BC13" s="30">
        <f t="shared" si="78"/>
        <v>42</v>
      </c>
      <c r="BD13" s="30">
        <f t="shared" si="65"/>
        <v>79380</v>
      </c>
      <c r="BE13" s="30">
        <f t="shared" si="66"/>
        <v>1.0213376976284585E-3</v>
      </c>
      <c r="BF13" s="33">
        <f t="shared" si="67"/>
        <v>1.0213376976284585E-3</v>
      </c>
      <c r="BG13" s="33">
        <f t="shared" si="79"/>
        <v>5.1066884881422921E-3</v>
      </c>
      <c r="BH13" s="33">
        <f t="shared" si="68"/>
        <v>5.1066884881422923E-4</v>
      </c>
      <c r="BI13" s="36">
        <v>1.0211345E-2</v>
      </c>
      <c r="BJ13" s="36">
        <f t="shared" si="69"/>
        <v>-9.7006761511857706E-3</v>
      </c>
      <c r="BK13" s="36">
        <f t="shared" si="70"/>
        <v>-18.99602095117158</v>
      </c>
    </row>
    <row r="14" spans="1:63">
      <c r="A14" s="17" t="s">
        <v>21</v>
      </c>
      <c r="B14" s="17">
        <v>0</v>
      </c>
      <c r="C14" s="8">
        <v>3</v>
      </c>
      <c r="D14" s="8">
        <v>3</v>
      </c>
      <c r="E14" s="8">
        <v>3</v>
      </c>
      <c r="F14" s="17">
        <v>0</v>
      </c>
      <c r="H14" s="8" t="s">
        <v>47</v>
      </c>
      <c r="I14" s="8">
        <f>B3+B8</f>
        <v>4</v>
      </c>
      <c r="J14" s="8">
        <f>C3+C8</f>
        <v>9</v>
      </c>
      <c r="K14" s="8">
        <f>D3+D8</f>
        <v>4</v>
      </c>
      <c r="L14" s="8">
        <f>E3+E8</f>
        <v>34</v>
      </c>
      <c r="M14" s="8">
        <f>F3+F8</f>
        <v>5</v>
      </c>
      <c r="N14" s="8">
        <f t="shared" si="33"/>
        <v>24480</v>
      </c>
      <c r="O14" s="9">
        <f t="shared" si="0"/>
        <v>3.1497035573122532E-4</v>
      </c>
      <c r="P14" s="9">
        <f t="shared" si="1"/>
        <v>3.1497035573122532E-4</v>
      </c>
      <c r="Q14" s="9">
        <f>P14*B29</f>
        <v>1.2598814229249012E-2</v>
      </c>
      <c r="R14" s="9">
        <f t="shared" si="2"/>
        <v>1.2598814229249013E-3</v>
      </c>
      <c r="T14" s="30" t="s">
        <v>129</v>
      </c>
      <c r="U14" s="30">
        <f t="shared" si="71"/>
        <v>2</v>
      </c>
      <c r="V14" s="30">
        <f>$C$14</f>
        <v>3</v>
      </c>
      <c r="W14" s="30">
        <f>$D$3+$D$4</f>
        <v>6</v>
      </c>
      <c r="X14" s="30">
        <f>$E$14</f>
        <v>3</v>
      </c>
      <c r="Y14" s="30">
        <f t="shared" si="58"/>
        <v>45</v>
      </c>
      <c r="Z14" s="30">
        <f t="shared" si="38"/>
        <v>4860</v>
      </c>
      <c r="AA14" s="31">
        <f t="shared" si="39"/>
        <v>6.2530879446640321E-5</v>
      </c>
      <c r="AB14" s="32">
        <f t="shared" si="40"/>
        <v>6.2530879446640321E-5</v>
      </c>
      <c r="AC14" s="33">
        <f t="shared" si="73"/>
        <v>1.563271986166008E-3</v>
      </c>
      <c r="AD14" s="33">
        <f t="shared" si="42"/>
        <v>1.5632719861660081E-4</v>
      </c>
      <c r="AE14" s="7">
        <v>3.1072750000000001E-3</v>
      </c>
      <c r="AF14" s="7">
        <f t="shared" si="34"/>
        <v>-2.9509478013833991E-3</v>
      </c>
      <c r="AG14" s="7">
        <f t="shared" si="13"/>
        <v>-18.876739476543207</v>
      </c>
      <c r="AI14" s="30" t="s">
        <v>179</v>
      </c>
      <c r="AJ14" s="30">
        <f t="shared" si="14"/>
        <v>2</v>
      </c>
      <c r="AK14" s="30">
        <f>$C$14</f>
        <v>3</v>
      </c>
      <c r="AL14" s="30">
        <f>$D$3+$D$7</f>
        <v>2</v>
      </c>
      <c r="AM14" s="30">
        <f>$E$14</f>
        <v>3</v>
      </c>
      <c r="AN14" s="30">
        <f t="shared" si="75"/>
        <v>42</v>
      </c>
      <c r="AO14" s="30">
        <f t="shared" si="59"/>
        <v>1512</v>
      </c>
      <c r="AP14" s="31">
        <f t="shared" si="60"/>
        <v>1.9454051383399211E-5</v>
      </c>
      <c r="AQ14" s="33">
        <f t="shared" si="61"/>
        <v>1.9454051383399211E-5</v>
      </c>
      <c r="AR14" s="33">
        <f t="shared" si="76"/>
        <v>2.3344861660079053E-4</v>
      </c>
      <c r="AS14" s="33">
        <f t="shared" si="62"/>
        <v>2.3344861660079055E-5</v>
      </c>
      <c r="AT14" s="36">
        <v>4.6663199999999997E-4</v>
      </c>
      <c r="AU14" s="36">
        <f t="shared" si="63"/>
        <v>-4.432871383399209E-4</v>
      </c>
      <c r="AV14" s="36">
        <f t="shared" si="64"/>
        <v>-18.98863847619047</v>
      </c>
      <c r="AX14" s="30" t="s">
        <v>231</v>
      </c>
      <c r="AY14" s="30">
        <f t="shared" si="23"/>
        <v>7</v>
      </c>
      <c r="AZ14" s="30">
        <f>$C$14</f>
        <v>3</v>
      </c>
      <c r="BA14" s="30">
        <f>$D$3+$D$10</f>
        <v>2</v>
      </c>
      <c r="BB14" s="30">
        <f>$E$14</f>
        <v>3</v>
      </c>
      <c r="BC14" s="30">
        <f t="shared" si="78"/>
        <v>42</v>
      </c>
      <c r="BD14" s="30">
        <f t="shared" si="65"/>
        <v>5292</v>
      </c>
      <c r="BE14" s="30">
        <f t="shared" si="66"/>
        <v>6.8089179841897239E-5</v>
      </c>
      <c r="BF14" s="33">
        <f t="shared" si="67"/>
        <v>6.8089179841897239E-5</v>
      </c>
      <c r="BG14" s="33">
        <f t="shared" si="79"/>
        <v>3.4044589920948621E-4</v>
      </c>
      <c r="BH14" s="33">
        <f t="shared" si="68"/>
        <v>3.4044589920948619E-5</v>
      </c>
      <c r="BI14" s="36">
        <v>6.7999E-4</v>
      </c>
      <c r="BJ14" s="36">
        <f t="shared" si="69"/>
        <v>-6.4594541007905143E-4</v>
      </c>
      <c r="BK14" s="36">
        <f t="shared" si="70"/>
        <v>-18.973511256235827</v>
      </c>
    </row>
    <row r="15" spans="1:63">
      <c r="A15" t="s">
        <v>68</v>
      </c>
      <c r="B15">
        <v>0</v>
      </c>
      <c r="C15" s="8">
        <v>0</v>
      </c>
      <c r="D15" s="8">
        <v>0</v>
      </c>
      <c r="E15" s="8">
        <v>0</v>
      </c>
      <c r="F15">
        <v>0</v>
      </c>
      <c r="H15" t="s">
        <v>48</v>
      </c>
      <c r="I15">
        <f>I14</f>
        <v>4</v>
      </c>
      <c r="J15">
        <f>J14</f>
        <v>9</v>
      </c>
      <c r="K15">
        <f>K14</f>
        <v>4</v>
      </c>
      <c r="L15">
        <f>L14</f>
        <v>34</v>
      </c>
      <c r="M15">
        <f>F18-M14</f>
        <v>43</v>
      </c>
      <c r="N15">
        <f t="shared" si="33"/>
        <v>210528</v>
      </c>
      <c r="O15" s="7">
        <f t="shared" si="0"/>
        <v>2.7087450592885374E-3</v>
      </c>
      <c r="P15" s="7">
        <f t="shared" si="1"/>
        <v>2.7087450592885374E-3</v>
      </c>
      <c r="Q15" s="7">
        <f>P15*C29</f>
        <v>1.8961215415019762E-2</v>
      </c>
      <c r="R15" s="7">
        <f t="shared" si="2"/>
        <v>1.8961215415019762E-3</v>
      </c>
      <c r="T15" s="30" t="s">
        <v>130</v>
      </c>
      <c r="U15" s="30">
        <f t="shared" si="71"/>
        <v>2</v>
      </c>
      <c r="V15" s="30">
        <f>$C$3+$C$4</f>
        <v>1</v>
      </c>
      <c r="W15" s="30">
        <f>$D$14</f>
        <v>3</v>
      </c>
      <c r="X15" s="30">
        <f>$E$14</f>
        <v>3</v>
      </c>
      <c r="Y15" s="30">
        <f t="shared" si="58"/>
        <v>45</v>
      </c>
      <c r="Z15" s="30">
        <f t="shared" si="38"/>
        <v>810</v>
      </c>
      <c r="AA15" s="31">
        <f t="shared" si="39"/>
        <v>1.042181324110672E-5</v>
      </c>
      <c r="AB15" s="32">
        <f t="shared" si="40"/>
        <v>1.042181324110672E-5</v>
      </c>
      <c r="AC15" s="33">
        <f t="shared" si="73"/>
        <v>2.60545331027668E-4</v>
      </c>
      <c r="AD15" s="33">
        <f t="shared" si="42"/>
        <v>2.60545331027668E-5</v>
      </c>
      <c r="AE15" s="7">
        <v>5.2192500000000001E-4</v>
      </c>
      <c r="AF15" s="7">
        <f t="shared" si="34"/>
        <v>-4.9587046689723326E-4</v>
      </c>
      <c r="AG15" s="7">
        <f t="shared" si="13"/>
        <v>-19.032022755555555</v>
      </c>
      <c r="AI15" s="30" t="s">
        <v>180</v>
      </c>
      <c r="AJ15" s="30">
        <f t="shared" si="14"/>
        <v>2</v>
      </c>
      <c r="AK15" s="30">
        <f>$C$3+$C$7</f>
        <v>9</v>
      </c>
      <c r="AL15" s="30">
        <f>$D$14</f>
        <v>3</v>
      </c>
      <c r="AM15" s="30">
        <f>$E$14</f>
        <v>3</v>
      </c>
      <c r="AN15" s="30">
        <f t="shared" si="75"/>
        <v>42</v>
      </c>
      <c r="AO15" s="30">
        <f t="shared" si="59"/>
        <v>6804</v>
      </c>
      <c r="AP15" s="31">
        <f t="shared" si="60"/>
        <v>8.7543231225296436E-5</v>
      </c>
      <c r="AQ15" s="33">
        <f t="shared" si="61"/>
        <v>8.7543231225296436E-5</v>
      </c>
      <c r="AR15" s="33">
        <f t="shared" si="76"/>
        <v>1.0505187747035572E-3</v>
      </c>
      <c r="AS15" s="33">
        <f t="shared" si="62"/>
        <v>1.0505187747035573E-4</v>
      </c>
      <c r="AT15" s="36">
        <v>2.1051239999999999E-3</v>
      </c>
      <c r="AU15" s="36">
        <f t="shared" si="63"/>
        <v>-2.0000721225296443E-3</v>
      </c>
      <c r="AV15" s="36">
        <f t="shared" si="64"/>
        <v>-19.038899358024693</v>
      </c>
      <c r="AX15" s="30" t="s">
        <v>232</v>
      </c>
      <c r="AY15" s="30">
        <f t="shared" si="23"/>
        <v>7</v>
      </c>
      <c r="AZ15" s="30">
        <f>$C$3+$C$10</f>
        <v>3</v>
      </c>
      <c r="BA15" s="30">
        <f>$D$14</f>
        <v>3</v>
      </c>
      <c r="BB15" s="30">
        <f>$E$14</f>
        <v>3</v>
      </c>
      <c r="BC15" s="30">
        <f t="shared" si="78"/>
        <v>42</v>
      </c>
      <c r="BD15" s="30">
        <f t="shared" si="65"/>
        <v>7938</v>
      </c>
      <c r="BE15" s="30">
        <f t="shared" si="66"/>
        <v>1.0213376976284585E-4</v>
      </c>
      <c r="BF15" s="33">
        <f t="shared" si="67"/>
        <v>1.0213376976284585E-4</v>
      </c>
      <c r="BG15" s="33">
        <f t="shared" si="79"/>
        <v>5.1066884881422923E-4</v>
      </c>
      <c r="BH15" s="33">
        <f t="shared" si="68"/>
        <v>5.1066884881422926E-5</v>
      </c>
      <c r="BI15" s="36">
        <v>1.018295E-3</v>
      </c>
      <c r="BJ15" s="36">
        <f t="shared" si="69"/>
        <v>-9.672281151185771E-4</v>
      </c>
      <c r="BK15" s="36">
        <f t="shared" si="70"/>
        <v>-18.94041740287226</v>
      </c>
    </row>
    <row r="16" spans="1:63">
      <c r="A16" s="17" t="s">
        <v>69</v>
      </c>
      <c r="B16" s="17">
        <v>0</v>
      </c>
      <c r="C16" s="8">
        <v>0</v>
      </c>
      <c r="D16" s="8">
        <v>0</v>
      </c>
      <c r="E16" s="8">
        <v>0</v>
      </c>
      <c r="F16" s="17">
        <v>0</v>
      </c>
      <c r="H16" t="s">
        <v>49</v>
      </c>
      <c r="I16">
        <f>I14</f>
        <v>4</v>
      </c>
      <c r="J16">
        <f>J14</f>
        <v>9</v>
      </c>
      <c r="K16">
        <f>K14</f>
        <v>4</v>
      </c>
      <c r="L16">
        <f>E18-L14</f>
        <v>21</v>
      </c>
      <c r="M16">
        <f>F18</f>
        <v>48</v>
      </c>
      <c r="N16">
        <f t="shared" si="33"/>
        <v>145152</v>
      </c>
      <c r="O16" s="7">
        <f t="shared" si="0"/>
        <v>1.867588932806324E-3</v>
      </c>
      <c r="P16" s="7">
        <f t="shared" si="1"/>
        <v>1.867588932806324E-3</v>
      </c>
      <c r="Q16" s="7">
        <f>P16*D29</f>
        <v>3.7351778656126481E-3</v>
      </c>
      <c r="R16" s="7">
        <f t="shared" si="2"/>
        <v>3.7351778656126482E-4</v>
      </c>
      <c r="T16" s="30" t="s">
        <v>131</v>
      </c>
      <c r="U16" s="30">
        <f t="shared" si="71"/>
        <v>2</v>
      </c>
      <c r="V16" s="30">
        <f>$C$14</f>
        <v>3</v>
      </c>
      <c r="W16" s="30">
        <f>$D$14</f>
        <v>3</v>
      </c>
      <c r="X16" s="30">
        <f>$E$14</f>
        <v>3</v>
      </c>
      <c r="Y16" s="30">
        <f t="shared" si="58"/>
        <v>45</v>
      </c>
      <c r="Z16" s="30">
        <f t="shared" si="38"/>
        <v>2430</v>
      </c>
      <c r="AA16" s="31">
        <f t="shared" si="39"/>
        <v>3.1265439723320161E-5</v>
      </c>
      <c r="AB16" s="32">
        <f t="shared" si="40"/>
        <v>3.1265439723320161E-5</v>
      </c>
      <c r="AC16" s="33">
        <f t="shared" si="73"/>
        <v>7.8163599308300399E-4</v>
      </c>
      <c r="AD16" s="33">
        <f t="shared" si="42"/>
        <v>7.8163599308300405E-5</v>
      </c>
      <c r="AE16" s="7">
        <v>1.5521249999999999E-3</v>
      </c>
      <c r="AF16" s="7">
        <f t="shared" si="34"/>
        <v>-1.4739614006916994E-3</v>
      </c>
      <c r="AG16" s="7">
        <f t="shared" si="13"/>
        <v>-18.857389037037031</v>
      </c>
      <c r="AI16" s="30" t="s">
        <v>181</v>
      </c>
      <c r="AJ16" s="30">
        <f t="shared" si="14"/>
        <v>2</v>
      </c>
      <c r="AK16" s="30">
        <f>$C$14</f>
        <v>3</v>
      </c>
      <c r="AL16" s="30">
        <f>$D$14</f>
        <v>3</v>
      </c>
      <c r="AM16" s="30">
        <f>$E$14</f>
        <v>3</v>
      </c>
      <c r="AN16" s="30">
        <f t="shared" si="75"/>
        <v>42</v>
      </c>
      <c r="AO16" s="30">
        <f t="shared" si="59"/>
        <v>2268</v>
      </c>
      <c r="AP16" s="31">
        <f t="shared" si="60"/>
        <v>2.9181077075098813E-5</v>
      </c>
      <c r="AQ16" s="33">
        <f t="shared" si="61"/>
        <v>2.9181077075098813E-5</v>
      </c>
      <c r="AR16" s="33">
        <f t="shared" si="76"/>
        <v>3.5017292490118574E-4</v>
      </c>
      <c r="AS16" s="33">
        <f t="shared" si="62"/>
        <v>3.5017292490118572E-5</v>
      </c>
      <c r="AT16" s="36">
        <v>6.9585600000000001E-4</v>
      </c>
      <c r="AU16" s="36">
        <f t="shared" si="63"/>
        <v>-6.6083870750988148E-4</v>
      </c>
      <c r="AV16" s="36">
        <f t="shared" si="64"/>
        <v>-18.87178192592593</v>
      </c>
      <c r="AX16" s="30" t="s">
        <v>233</v>
      </c>
      <c r="AY16" s="30">
        <f t="shared" si="23"/>
        <v>7</v>
      </c>
      <c r="AZ16" s="30">
        <f>$C$14</f>
        <v>3</v>
      </c>
      <c r="BA16" s="30">
        <f>$D$14</f>
        <v>3</v>
      </c>
      <c r="BB16" s="30">
        <f>$E$14</f>
        <v>3</v>
      </c>
      <c r="BC16" s="30">
        <f t="shared" si="78"/>
        <v>42</v>
      </c>
      <c r="BD16" s="30">
        <f t="shared" si="65"/>
        <v>7938</v>
      </c>
      <c r="BE16" s="30">
        <f t="shared" si="66"/>
        <v>1.0213376976284585E-4</v>
      </c>
      <c r="BF16" s="33">
        <f t="shared" si="67"/>
        <v>1.0213376976284585E-4</v>
      </c>
      <c r="BG16" s="33">
        <f t="shared" si="79"/>
        <v>5.1066884881422923E-4</v>
      </c>
      <c r="BH16" s="33">
        <f t="shared" si="68"/>
        <v>5.1066884881422926E-5</v>
      </c>
      <c r="BI16" s="36">
        <v>1.0242199999999999E-3</v>
      </c>
      <c r="BJ16" s="36">
        <f t="shared" si="69"/>
        <v>-9.7315311511857704E-4</v>
      </c>
      <c r="BK16" s="36">
        <f t="shared" si="70"/>
        <v>-19.056441711262281</v>
      </c>
    </row>
    <row r="17" spans="1:63">
      <c r="A17" t="s">
        <v>70</v>
      </c>
      <c r="B17">
        <v>0</v>
      </c>
      <c r="C17" s="8">
        <v>0</v>
      </c>
      <c r="D17" s="8">
        <v>0</v>
      </c>
      <c r="E17" s="8">
        <v>0</v>
      </c>
      <c r="F17">
        <v>0</v>
      </c>
      <c r="H17" s="8" t="s">
        <v>50</v>
      </c>
      <c r="I17" s="8">
        <f>B3+B9</f>
        <v>7</v>
      </c>
      <c r="J17" s="8">
        <f>C3+C9</f>
        <v>3</v>
      </c>
      <c r="K17" s="8">
        <f>D3+D9</f>
        <v>2</v>
      </c>
      <c r="L17" s="8">
        <f>E3+E9</f>
        <v>28</v>
      </c>
      <c r="M17" s="8">
        <f>F3+F9</f>
        <v>6</v>
      </c>
      <c r="N17" s="8">
        <f t="shared" si="33"/>
        <v>7056</v>
      </c>
      <c r="O17" s="9">
        <f t="shared" si="0"/>
        <v>9.0785573122529638E-5</v>
      </c>
      <c r="P17" s="9">
        <f t="shared" si="1"/>
        <v>9.0785573122529638E-5</v>
      </c>
      <c r="Q17" s="9">
        <f>P17*B30</f>
        <v>2.269639328063241E-3</v>
      </c>
      <c r="R17" s="9">
        <f t="shared" si="2"/>
        <v>2.269639328063241E-4</v>
      </c>
      <c r="AA17" s="15"/>
      <c r="AB17" s="10"/>
      <c r="AC17" s="7"/>
      <c r="AD17" s="7">
        <f>SUM(AD10:AD16)</f>
        <v>3.0918045948616604E-3</v>
      </c>
      <c r="AE17" s="7">
        <f t="shared" ref="AE17:AG17" si="81">SUM(AE10:AE16)</f>
        <v>6.1793124999999997E-2</v>
      </c>
      <c r="AF17" s="7">
        <f t="shared" si="81"/>
        <v>-5.8701320405138348E-2</v>
      </c>
      <c r="AG17" s="7">
        <f t="shared" si="81"/>
        <v>-133.02304365432099</v>
      </c>
      <c r="AP17" s="15"/>
      <c r="AQ17" s="7"/>
      <c r="AR17" s="7"/>
      <c r="AS17" s="7">
        <f>SUM(AS10:AS16)</f>
        <v>1.7586462450592884E-3</v>
      </c>
      <c r="AT17" s="36">
        <f t="shared" ref="AT17:AV17" si="82">SUM(AT10:AT16)</f>
        <v>3.5184084000000004E-2</v>
      </c>
      <c r="AU17" s="36">
        <f t="shared" si="82"/>
        <v>-3.3425437754940709E-2</v>
      </c>
      <c r="AV17" s="36">
        <f t="shared" si="82"/>
        <v>-133.09327783119176</v>
      </c>
      <c r="BF17" s="7"/>
      <c r="BG17" s="7"/>
      <c r="BH17" s="7">
        <f>SUM(BH10:BH16)</f>
        <v>1.5320065464426876E-3</v>
      </c>
      <c r="BI17" s="7">
        <f t="shared" ref="BI17:BK17" si="83">SUM(BI10:BI16)</f>
        <v>3.0640939999999995E-2</v>
      </c>
      <c r="BJ17" s="7">
        <f t="shared" si="83"/>
        <v>-2.9108933453557313E-2</v>
      </c>
      <c r="BK17" s="7">
        <f t="shared" si="83"/>
        <v>-132.89397466848072</v>
      </c>
    </row>
    <row r="18" spans="1:63">
      <c r="A18" s="1" t="s">
        <v>22</v>
      </c>
      <c r="B18" s="5">
        <f>SUM(B3:B17)</f>
        <v>32</v>
      </c>
      <c r="C18" s="5">
        <f t="shared" ref="C18:F18" si="84">SUM(C3:C17)</f>
        <v>40</v>
      </c>
      <c r="D18" s="5">
        <f t="shared" si="84"/>
        <v>23</v>
      </c>
      <c r="E18" s="5">
        <f t="shared" si="84"/>
        <v>55</v>
      </c>
      <c r="F18" s="5">
        <f t="shared" si="84"/>
        <v>48</v>
      </c>
      <c r="H18" t="s">
        <v>51</v>
      </c>
      <c r="I18">
        <f>I17</f>
        <v>7</v>
      </c>
      <c r="J18">
        <f t="shared" ref="J18:L18" si="85">J17</f>
        <v>3</v>
      </c>
      <c r="K18">
        <f t="shared" si="85"/>
        <v>2</v>
      </c>
      <c r="L18">
        <f t="shared" si="85"/>
        <v>28</v>
      </c>
      <c r="M18">
        <f>F18-M17</f>
        <v>42</v>
      </c>
      <c r="N18">
        <f t="shared" si="33"/>
        <v>49392</v>
      </c>
      <c r="O18" s="7">
        <f t="shared" si="0"/>
        <v>6.3549901185770751E-4</v>
      </c>
      <c r="P18" s="7">
        <f t="shared" si="1"/>
        <v>6.3549901185770751E-4</v>
      </c>
      <c r="Q18" s="7">
        <f>P18*C30</f>
        <v>3.1774950592885374E-3</v>
      </c>
      <c r="R18" s="7">
        <f t="shared" si="2"/>
        <v>3.1774950592885375E-4</v>
      </c>
      <c r="T18" s="30" t="s">
        <v>132</v>
      </c>
      <c r="U18" s="30">
        <f>$B$3+$B$4</f>
        <v>2</v>
      </c>
      <c r="V18" s="30">
        <f>$C$14</f>
        <v>3</v>
      </c>
      <c r="W18" s="30">
        <f>$D$3+$D$4</f>
        <v>6</v>
      </c>
      <c r="X18" s="30">
        <f>$E$18-$E$3-$E$4-$E$14</f>
        <v>20</v>
      </c>
      <c r="Y18" s="30">
        <f>$F$18</f>
        <v>48</v>
      </c>
      <c r="Z18" s="30">
        <f t="shared" si="38"/>
        <v>34560</v>
      </c>
      <c r="AA18" s="31">
        <f t="shared" si="39"/>
        <v>4.4466403162055334E-4</v>
      </c>
      <c r="AB18" s="32">
        <f t="shared" si="40"/>
        <v>4.4466403162055334E-4</v>
      </c>
      <c r="AC18" s="33">
        <f>AB18*$D$25</f>
        <v>8.8932806324110668E-4</v>
      </c>
      <c r="AD18" s="33">
        <f t="shared" si="42"/>
        <v>8.8932806324110665E-5</v>
      </c>
      <c r="AE18" s="7">
        <v>1.7796540000000001E-3</v>
      </c>
      <c r="AF18" s="7">
        <f t="shared" si="34"/>
        <v>-1.6907211936758894E-3</v>
      </c>
      <c r="AG18" s="7">
        <f t="shared" si="13"/>
        <v>-19.011220533333336</v>
      </c>
      <c r="AI18" s="30" t="s">
        <v>182</v>
      </c>
      <c r="AJ18" s="30">
        <f t="shared" si="14"/>
        <v>2</v>
      </c>
      <c r="AK18" s="30">
        <f>$C$14</f>
        <v>3</v>
      </c>
      <c r="AL18" s="30">
        <f>$D$3+$D$7</f>
        <v>2</v>
      </c>
      <c r="AM18" s="30">
        <f>$E$18-$E$3-$E$7-$E$14</f>
        <v>24</v>
      </c>
      <c r="AN18" s="30">
        <f>$F$18</f>
        <v>48</v>
      </c>
      <c r="AO18" s="30">
        <f t="shared" si="59"/>
        <v>13824</v>
      </c>
      <c r="AP18" s="31">
        <f t="shared" si="60"/>
        <v>1.7786561264822133E-4</v>
      </c>
      <c r="AQ18" s="33">
        <f t="shared" si="61"/>
        <v>1.7786561264822133E-4</v>
      </c>
      <c r="AR18" s="33">
        <f>AQ18*$D$28</f>
        <v>3.5573122529644266E-4</v>
      </c>
      <c r="AS18" s="33">
        <f t="shared" si="62"/>
        <v>3.5573122529644268E-5</v>
      </c>
      <c r="AT18" s="36">
        <v>7.1120199999999997E-4</v>
      </c>
      <c r="AU18" s="36">
        <f t="shared" si="63"/>
        <v>-6.7562887747035566E-4</v>
      </c>
      <c r="AV18" s="36">
        <f t="shared" ref="AV18:AV20" si="86">AU18/AS18</f>
        <v>-18.992678444444444</v>
      </c>
      <c r="AX18" s="30" t="s">
        <v>234</v>
      </c>
      <c r="AY18" s="30">
        <f t="shared" ref="AY18:AY20" si="87">$B$3+$B$10</f>
        <v>7</v>
      </c>
      <c r="AZ18" s="30">
        <f>$C$14</f>
        <v>3</v>
      </c>
      <c r="BA18" s="30">
        <f>$D$3+$D$10</f>
        <v>2</v>
      </c>
      <c r="BB18" s="30">
        <f>$E$18-$E$3-$E$10-$E$14</f>
        <v>22</v>
      </c>
      <c r="BC18" s="30">
        <f>$F$18</f>
        <v>48</v>
      </c>
      <c r="BD18" s="30">
        <f t="shared" ref="BD18:BD20" si="88">PRODUCT(AY18:BC18)</f>
        <v>44352</v>
      </c>
      <c r="BE18" s="30">
        <f t="shared" ref="BE18:BE20" si="89">BD18/$B$19</f>
        <v>5.7065217391304352E-4</v>
      </c>
      <c r="BF18" s="33">
        <f t="shared" ref="BF18:BF20" si="90">BE18*$A$22</f>
        <v>5.7065217391304352E-4</v>
      </c>
      <c r="BG18" s="33">
        <f>BF18*$D$31</f>
        <v>1.141304347826087E-3</v>
      </c>
      <c r="BH18" s="33">
        <f t="shared" ref="BH18:BH20" si="91">BG18/$B$22</f>
        <v>1.141304347826087E-4</v>
      </c>
      <c r="BI18" s="36">
        <v>2.284038E-3</v>
      </c>
      <c r="BJ18" s="36">
        <f t="shared" ref="BJ18:BJ20" si="92">BH18-BI18</f>
        <v>-2.1699075652173911E-3</v>
      </c>
      <c r="BK18" s="36">
        <f t="shared" ref="BK18:BK20" si="93">BJ18/BH18</f>
        <v>-19.012523428571427</v>
      </c>
    </row>
    <row r="19" spans="1:63">
      <c r="A19" s="4" t="s">
        <v>33</v>
      </c>
      <c r="B19" s="54">
        <f>PRODUCT(B18:F18)</f>
        <v>77721600</v>
      </c>
      <c r="C19" s="54"/>
      <c r="D19" s="54"/>
      <c r="E19" s="54"/>
      <c r="F19" s="54"/>
      <c r="H19" t="s">
        <v>55</v>
      </c>
      <c r="I19">
        <f>I17</f>
        <v>7</v>
      </c>
      <c r="J19">
        <f t="shared" ref="J19:K19" si="94">J17</f>
        <v>3</v>
      </c>
      <c r="K19">
        <f t="shared" si="94"/>
        <v>2</v>
      </c>
      <c r="L19">
        <f>E18-L17</f>
        <v>27</v>
      </c>
      <c r="M19">
        <f>F18</f>
        <v>48</v>
      </c>
      <c r="N19">
        <f t="shared" si="33"/>
        <v>54432</v>
      </c>
      <c r="O19" s="7">
        <f t="shared" si="0"/>
        <v>7.0034584980237149E-4</v>
      </c>
      <c r="P19" s="7">
        <f t="shared" si="1"/>
        <v>7.0034584980237149E-4</v>
      </c>
      <c r="Q19" s="7">
        <f>P19*D30</f>
        <v>1.400691699604743E-3</v>
      </c>
      <c r="R19" s="7">
        <f t="shared" si="2"/>
        <v>1.4006916996047429E-4</v>
      </c>
      <c r="T19" s="30" t="s">
        <v>133</v>
      </c>
      <c r="U19" s="30">
        <f t="shared" ref="U19:U20" si="95">$B$3+$B$4</f>
        <v>2</v>
      </c>
      <c r="V19" s="30">
        <f>$C$3+$C$4</f>
        <v>1</v>
      </c>
      <c r="W19" s="30">
        <f t="shared" ref="W19" si="96">$D$14</f>
        <v>3</v>
      </c>
      <c r="X19" s="30">
        <f>$E$18-$E$3-$E$4-$E$14</f>
        <v>20</v>
      </c>
      <c r="Y19" s="30">
        <f t="shared" ref="Y19:Y20" si="97">$F$18</f>
        <v>48</v>
      </c>
      <c r="Z19" s="30">
        <f t="shared" si="38"/>
        <v>5760</v>
      </c>
      <c r="AA19" s="31">
        <f t="shared" si="39"/>
        <v>7.4110671936758899E-5</v>
      </c>
      <c r="AB19" s="32">
        <f t="shared" si="40"/>
        <v>7.4110671936758899E-5</v>
      </c>
      <c r="AC19" s="33">
        <f t="shared" ref="AC19:AC20" si="98">AB19*$D$25</f>
        <v>1.482213438735178E-4</v>
      </c>
      <c r="AD19" s="33">
        <f t="shared" si="42"/>
        <v>1.482213438735178E-5</v>
      </c>
      <c r="AE19" s="7">
        <v>2.9705399999999999E-4</v>
      </c>
      <c r="AF19" s="7">
        <f t="shared" si="34"/>
        <v>-2.8223186561264821E-4</v>
      </c>
      <c r="AG19" s="7">
        <f t="shared" si="13"/>
        <v>-19.041243199999997</v>
      </c>
      <c r="AI19" s="30" t="s">
        <v>183</v>
      </c>
      <c r="AJ19" s="30">
        <f t="shared" si="14"/>
        <v>2</v>
      </c>
      <c r="AK19" s="30">
        <f>$C$3+$C$7</f>
        <v>9</v>
      </c>
      <c r="AL19" s="30">
        <f t="shared" ref="AL19" si="99">$D$14</f>
        <v>3</v>
      </c>
      <c r="AM19" s="30">
        <f t="shared" ref="AM19:AM20" si="100">$E$18-$E$3-$E$7-$E$14</f>
        <v>24</v>
      </c>
      <c r="AN19" s="30">
        <f t="shared" ref="AN19:AN20" si="101">$F$18</f>
        <v>48</v>
      </c>
      <c r="AO19" s="30">
        <f t="shared" si="59"/>
        <v>62208</v>
      </c>
      <c r="AP19" s="31">
        <f t="shared" si="60"/>
        <v>8.00395256916996E-4</v>
      </c>
      <c r="AQ19" s="33">
        <f t="shared" si="61"/>
        <v>8.00395256916996E-4</v>
      </c>
      <c r="AR19" s="33">
        <f>AQ19*$D$28</f>
        <v>1.600790513833992E-3</v>
      </c>
      <c r="AS19" s="33">
        <f t="shared" si="62"/>
        <v>1.600790513833992E-4</v>
      </c>
      <c r="AT19" s="36">
        <v>3.202894E-3</v>
      </c>
      <c r="AU19" s="36">
        <f t="shared" si="63"/>
        <v>-3.0428149486166007E-3</v>
      </c>
      <c r="AV19" s="36">
        <f t="shared" si="86"/>
        <v>-19.008202024691357</v>
      </c>
      <c r="AX19" s="30" t="s">
        <v>235</v>
      </c>
      <c r="AY19" s="30">
        <f t="shared" si="87"/>
        <v>7</v>
      </c>
      <c r="AZ19" s="30">
        <f>$C$3+$C$10</f>
        <v>3</v>
      </c>
      <c r="BA19" s="30">
        <f t="shared" ref="BA19" si="102">$D$14</f>
        <v>3</v>
      </c>
      <c r="BB19" s="30">
        <f t="shared" ref="BB19:BB20" si="103">$E$18-$E$3-$E$10-$E$14</f>
        <v>22</v>
      </c>
      <c r="BC19" s="30">
        <f t="shared" ref="BC19:BC20" si="104">$F$18</f>
        <v>48</v>
      </c>
      <c r="BD19" s="30">
        <f t="shared" si="88"/>
        <v>66528</v>
      </c>
      <c r="BE19" s="30">
        <f t="shared" si="89"/>
        <v>8.5597826086956518E-4</v>
      </c>
      <c r="BF19" s="33">
        <f t="shared" si="90"/>
        <v>8.5597826086956518E-4</v>
      </c>
      <c r="BG19" s="33">
        <f t="shared" ref="BG19:BG20" si="105">BF19*$D$31</f>
        <v>1.7119565217391304E-3</v>
      </c>
      <c r="BH19" s="33">
        <f t="shared" si="91"/>
        <v>1.7119565217391304E-4</v>
      </c>
      <c r="BI19" s="36">
        <v>3.4266919999999998E-3</v>
      </c>
      <c r="BJ19" s="36">
        <f t="shared" si="92"/>
        <v>-3.2554963478260866E-3</v>
      </c>
      <c r="BK19" s="36">
        <f t="shared" si="93"/>
        <v>-19.016232634920634</v>
      </c>
    </row>
    <row r="20" spans="1:63">
      <c r="A20" s="11"/>
      <c r="B20" s="6"/>
      <c r="H20" s="8" t="s">
        <v>53</v>
      </c>
      <c r="I20" s="8">
        <f>B3+B10</f>
        <v>7</v>
      </c>
      <c r="J20" s="8">
        <f>C3+C10</f>
        <v>3</v>
      </c>
      <c r="K20" s="8">
        <f>D3+D10</f>
        <v>2</v>
      </c>
      <c r="L20" s="8">
        <f>E3+E10</f>
        <v>30</v>
      </c>
      <c r="M20" s="8">
        <f>F3+F10</f>
        <v>6</v>
      </c>
      <c r="N20" s="8">
        <f t="shared" si="33"/>
        <v>7560</v>
      </c>
      <c r="O20" s="9">
        <f t="shared" si="0"/>
        <v>9.7270256916996042E-5</v>
      </c>
      <c r="P20" s="9">
        <f t="shared" si="1"/>
        <v>9.7270256916996042E-5</v>
      </c>
      <c r="Q20" s="9">
        <f>P20*B31</f>
        <v>2.431756422924901E-3</v>
      </c>
      <c r="R20" s="9">
        <f t="shared" si="2"/>
        <v>2.431756422924901E-4</v>
      </c>
      <c r="T20" s="30" t="s">
        <v>134</v>
      </c>
      <c r="U20" s="30">
        <f t="shared" si="95"/>
        <v>2</v>
      </c>
      <c r="V20" s="30">
        <f>$C$14</f>
        <v>3</v>
      </c>
      <c r="W20" s="30">
        <f>$D$14</f>
        <v>3</v>
      </c>
      <c r="X20" s="30">
        <f>$E$18-$E$3-$E$4-$E$14</f>
        <v>20</v>
      </c>
      <c r="Y20" s="30">
        <f t="shared" si="97"/>
        <v>48</v>
      </c>
      <c r="Z20" s="30">
        <f t="shared" si="38"/>
        <v>17280</v>
      </c>
      <c r="AA20" s="31">
        <f t="shared" si="39"/>
        <v>2.2233201581027667E-4</v>
      </c>
      <c r="AB20" s="32">
        <f t="shared" si="40"/>
        <v>2.2233201581027667E-4</v>
      </c>
      <c r="AC20" s="33">
        <f t="shared" si="98"/>
        <v>4.4466403162055334E-4</v>
      </c>
      <c r="AD20" s="33">
        <f t="shared" si="42"/>
        <v>4.4466403162055333E-5</v>
      </c>
      <c r="AE20" s="7">
        <v>8.8897800000000001E-4</v>
      </c>
      <c r="AF20" s="7">
        <f t="shared" si="34"/>
        <v>-8.4451159683794467E-4</v>
      </c>
      <c r="AG20" s="7">
        <f t="shared" si="13"/>
        <v>-18.99212746666667</v>
      </c>
      <c r="AI20" s="30" t="s">
        <v>184</v>
      </c>
      <c r="AJ20" s="30">
        <f t="shared" si="14"/>
        <v>2</v>
      </c>
      <c r="AK20" s="30">
        <f>$C$14</f>
        <v>3</v>
      </c>
      <c r="AL20" s="30">
        <f>$D$14</f>
        <v>3</v>
      </c>
      <c r="AM20" s="30">
        <f t="shared" si="100"/>
        <v>24</v>
      </c>
      <c r="AN20" s="30">
        <f t="shared" si="101"/>
        <v>48</v>
      </c>
      <c r="AO20" s="30">
        <f t="shared" si="59"/>
        <v>20736</v>
      </c>
      <c r="AP20" s="31">
        <f t="shared" si="60"/>
        <v>2.6679841897233204E-4</v>
      </c>
      <c r="AQ20" s="33">
        <f t="shared" si="61"/>
        <v>2.6679841897233204E-4</v>
      </c>
      <c r="AR20" s="33">
        <f t="shared" ref="AR20" si="106">AQ20*$D$28</f>
        <v>5.3359683794466407E-4</v>
      </c>
      <c r="AS20" s="33">
        <f t="shared" si="62"/>
        <v>5.3359683794466405E-5</v>
      </c>
      <c r="AT20" s="36">
        <v>1.0672780000000001E-3</v>
      </c>
      <c r="AU20" s="36">
        <f t="shared" si="63"/>
        <v>-1.0139183162055337E-3</v>
      </c>
      <c r="AV20" s="36">
        <f t="shared" si="86"/>
        <v>-19.001580296296297</v>
      </c>
      <c r="AX20" s="30" t="s">
        <v>236</v>
      </c>
      <c r="AY20" s="30">
        <f t="shared" si="87"/>
        <v>7</v>
      </c>
      <c r="AZ20" s="30">
        <f>$C$14</f>
        <v>3</v>
      </c>
      <c r="BA20" s="30">
        <f>$D$14</f>
        <v>3</v>
      </c>
      <c r="BB20" s="30">
        <f t="shared" si="103"/>
        <v>22</v>
      </c>
      <c r="BC20" s="30">
        <f t="shared" si="104"/>
        <v>48</v>
      </c>
      <c r="BD20" s="30">
        <f t="shared" si="88"/>
        <v>66528</v>
      </c>
      <c r="BE20" s="30">
        <f t="shared" si="89"/>
        <v>8.5597826086956518E-4</v>
      </c>
      <c r="BF20" s="33">
        <f t="shared" si="90"/>
        <v>8.5597826086956518E-4</v>
      </c>
      <c r="BG20" s="33">
        <f t="shared" si="105"/>
        <v>1.7119565217391304E-3</v>
      </c>
      <c r="BH20" s="33">
        <f t="shared" si="91"/>
        <v>1.7119565217391304E-4</v>
      </c>
      <c r="BI20" s="36">
        <v>3.418918E-3</v>
      </c>
      <c r="BJ20" s="36">
        <f t="shared" si="92"/>
        <v>-3.2477223478260871E-3</v>
      </c>
      <c r="BK20" s="36">
        <f t="shared" si="93"/>
        <v>-18.970822603174604</v>
      </c>
    </row>
    <row r="21" spans="1:63">
      <c r="A21" s="3" t="s">
        <v>30</v>
      </c>
      <c r="B21" s="3" t="s">
        <v>34</v>
      </c>
      <c r="H21" t="s">
        <v>54</v>
      </c>
      <c r="I21">
        <f>I20</f>
        <v>7</v>
      </c>
      <c r="J21">
        <f t="shared" ref="J21:L21" si="107">J20</f>
        <v>3</v>
      </c>
      <c r="K21">
        <f t="shared" si="107"/>
        <v>2</v>
      </c>
      <c r="L21">
        <f t="shared" si="107"/>
        <v>30</v>
      </c>
      <c r="M21">
        <f>F18-M20</f>
        <v>42</v>
      </c>
      <c r="N21">
        <f t="shared" si="33"/>
        <v>52920</v>
      </c>
      <c r="O21" s="7">
        <f t="shared" si="0"/>
        <v>6.808917984189723E-4</v>
      </c>
      <c r="P21" s="7">
        <f t="shared" si="1"/>
        <v>6.808917984189723E-4</v>
      </c>
      <c r="Q21" s="7">
        <f>P21*C31</f>
        <v>3.4044589920948615E-3</v>
      </c>
      <c r="R21" s="7">
        <f t="shared" si="2"/>
        <v>3.4044589920948615E-4</v>
      </c>
      <c r="AA21" s="15"/>
      <c r="AB21" s="10"/>
      <c r="AC21" s="10"/>
      <c r="AD21" s="10">
        <f t="shared" ref="AD21" si="108">SUM(AD18:AD20)</f>
        <v>1.4822134387351777E-4</v>
      </c>
      <c r="AE21" s="10">
        <f t="shared" ref="AE21" si="109">SUM(AE18:AE20)</f>
        <v>2.9656859999999999E-3</v>
      </c>
      <c r="AF21" s="10">
        <f t="shared" ref="AF21" si="110">SUM(AF18:AF20)</f>
        <v>-2.8174646561264821E-3</v>
      </c>
      <c r="AG21" s="10">
        <f t="shared" ref="AG21" si="111">SUM(AG18:AG20)</f>
        <v>-57.044591199999999</v>
      </c>
      <c r="AS21" s="7">
        <f>SUM(AS18:AS20)</f>
        <v>2.4901185770750988E-4</v>
      </c>
      <c r="AT21" s="36">
        <f t="shared" ref="AT21:AV21" si="112">SUM(AT18:AT20)</f>
        <v>4.9813740000000002E-3</v>
      </c>
      <c r="AU21" s="36">
        <f t="shared" si="112"/>
        <v>-4.7323621422924898E-3</v>
      </c>
      <c r="AV21" s="36">
        <f t="shared" si="112"/>
        <v>-57.002460765432097</v>
      </c>
      <c r="BF21" s="7"/>
      <c r="BG21" s="7"/>
      <c r="BH21" s="7">
        <f>SUM(BH18:BH20)</f>
        <v>4.565217391304348E-4</v>
      </c>
      <c r="BI21" s="7">
        <f t="shared" ref="BI21:BK21" si="113">SUM(BI18:BI20)</f>
        <v>9.1296480000000006E-3</v>
      </c>
      <c r="BJ21" s="7">
        <f t="shared" si="113"/>
        <v>-8.6731262608695653E-3</v>
      </c>
      <c r="BK21" s="7">
        <f t="shared" si="113"/>
        <v>-56.999578666666665</v>
      </c>
    </row>
    <row r="22" spans="1:63">
      <c r="A22">
        <v>1</v>
      </c>
      <c r="B22">
        <v>10</v>
      </c>
      <c r="H22" t="s">
        <v>55</v>
      </c>
      <c r="I22">
        <f>I20</f>
        <v>7</v>
      </c>
      <c r="J22">
        <f t="shared" ref="J22:K22" si="114">J20</f>
        <v>3</v>
      </c>
      <c r="K22">
        <f t="shared" si="114"/>
        <v>2</v>
      </c>
      <c r="L22">
        <f>E18-L20</f>
        <v>25</v>
      </c>
      <c r="M22">
        <f>F18</f>
        <v>48</v>
      </c>
      <c r="N22">
        <f t="shared" si="33"/>
        <v>50400</v>
      </c>
      <c r="O22" s="7">
        <f t="shared" si="0"/>
        <v>6.4846837944664037E-4</v>
      </c>
      <c r="P22" s="7">
        <f t="shared" si="1"/>
        <v>6.4846837944664037E-4</v>
      </c>
      <c r="Q22" s="7">
        <f>P22*D31</f>
        <v>1.2969367588932807E-3</v>
      </c>
      <c r="R22" s="7">
        <f t="shared" si="2"/>
        <v>1.2969367588932807E-4</v>
      </c>
      <c r="AA22" s="15"/>
      <c r="AB22" s="10"/>
      <c r="AC22" s="7"/>
      <c r="AD22" s="7"/>
      <c r="AE22" s="7"/>
      <c r="AF22" s="7"/>
      <c r="AG22" s="7"/>
      <c r="AT22" s="17"/>
      <c r="AU22" s="17"/>
      <c r="AV22" s="17"/>
      <c r="BF22" s="7"/>
      <c r="BG22" s="7"/>
      <c r="BH22" s="7"/>
      <c r="BI22" s="36"/>
      <c r="BJ22" s="36"/>
      <c r="BK22" s="36"/>
    </row>
    <row r="23" spans="1:63">
      <c r="H23" s="8" t="s">
        <v>56</v>
      </c>
      <c r="I23" s="8">
        <f>B3+B11</f>
        <v>2</v>
      </c>
      <c r="J23" s="8">
        <f>C3+C11</f>
        <v>7</v>
      </c>
      <c r="K23" s="8">
        <f>D3+D11</f>
        <v>0</v>
      </c>
      <c r="L23" s="8">
        <f>E3+E11</f>
        <v>28</v>
      </c>
      <c r="M23" s="8">
        <f>F3+F11</f>
        <v>6</v>
      </c>
      <c r="N23" s="8">
        <f t="shared" si="33"/>
        <v>0</v>
      </c>
      <c r="O23" s="9">
        <f t="shared" si="0"/>
        <v>0</v>
      </c>
      <c r="P23" s="9">
        <f t="shared" si="1"/>
        <v>0</v>
      </c>
      <c r="Q23" s="9">
        <f>P23*B32</f>
        <v>0</v>
      </c>
      <c r="R23" s="9">
        <f t="shared" si="2"/>
        <v>0</v>
      </c>
      <c r="T23" s="29" t="s">
        <v>151</v>
      </c>
      <c r="U23" s="30">
        <f>$B$3+$B$5</f>
        <v>3</v>
      </c>
      <c r="V23" s="30">
        <f>$C$14</f>
        <v>3</v>
      </c>
      <c r="W23" s="30">
        <f>$D$3+$D$5</f>
        <v>4</v>
      </c>
      <c r="X23" s="30">
        <f>$E$3+$E$5</f>
        <v>32</v>
      </c>
      <c r="Y23" s="30">
        <f>$F$3+$F$5</f>
        <v>4</v>
      </c>
      <c r="Z23" s="30">
        <f>PRODUCT(U23:Y23)</f>
        <v>4608</v>
      </c>
      <c r="AA23" s="31">
        <f>Z23/$B$19</f>
        <v>5.9288537549407113E-5</v>
      </c>
      <c r="AB23" s="32">
        <f>AA23*$A$22</f>
        <v>5.9288537549407113E-5</v>
      </c>
      <c r="AC23" s="33">
        <f>AB23*$B$26</f>
        <v>2.9644268774703555E-3</v>
      </c>
      <c r="AD23" s="33">
        <f>AC23/$B$22</f>
        <v>2.9644268774703554E-4</v>
      </c>
      <c r="AE23" s="7">
        <v>5.8639E-3</v>
      </c>
      <c r="AF23" s="7">
        <f t="shared" si="34"/>
        <v>-5.5674573122529644E-3</v>
      </c>
      <c r="AG23" s="7">
        <f t="shared" si="13"/>
        <v>-18.780889333333334</v>
      </c>
      <c r="AI23" s="29" t="s">
        <v>202</v>
      </c>
      <c r="AJ23" s="30">
        <f>$B$3+$B$8</f>
        <v>4</v>
      </c>
      <c r="AK23" s="30">
        <f>$C$14</f>
        <v>3</v>
      </c>
      <c r="AL23" s="30">
        <f>$D$3+$D$8</f>
        <v>4</v>
      </c>
      <c r="AM23" s="30">
        <f>$E$3+$E$8</f>
        <v>34</v>
      </c>
      <c r="AN23" s="30">
        <f>$F$3+$F$8</f>
        <v>5</v>
      </c>
      <c r="AO23" s="30">
        <f>PRODUCT(AJ23:AN23)</f>
        <v>8160</v>
      </c>
      <c r="AP23" s="31">
        <f>AO23/$B$19</f>
        <v>1.049901185770751E-4</v>
      </c>
      <c r="AQ23" s="33">
        <f>AP23*20</f>
        <v>2.099802371541502E-3</v>
      </c>
      <c r="AR23" s="33">
        <f>AQ23*$B$29</f>
        <v>8.399209486166008E-2</v>
      </c>
      <c r="AS23" s="33">
        <f>AR23/$B$22</f>
        <v>8.399209486166008E-3</v>
      </c>
      <c r="AT23" s="36">
        <v>8.3428400000000007E-3</v>
      </c>
      <c r="AU23" s="36">
        <f t="shared" ref="AU23:AU24" si="115">AS23-AT23</f>
        <v>5.6369486166007315E-5</v>
      </c>
      <c r="AV23" s="36">
        <f>AU23/AS23</f>
        <v>6.7112847058822828E-3</v>
      </c>
      <c r="AX23" s="30" t="s">
        <v>237</v>
      </c>
      <c r="AY23" s="30">
        <f>$B$3+$B$11</f>
        <v>2</v>
      </c>
      <c r="AZ23" s="30">
        <f>$C$14</f>
        <v>3</v>
      </c>
      <c r="BA23" s="30">
        <f>$D$3+$D$11</f>
        <v>0</v>
      </c>
      <c r="BB23" s="30">
        <f>$E$3+$E$11</f>
        <v>28</v>
      </c>
      <c r="BC23" s="30">
        <f>$F$3+$F$11</f>
        <v>6</v>
      </c>
      <c r="BD23" s="30">
        <f>PRODUCT(AY23:BC23)</f>
        <v>0</v>
      </c>
      <c r="BE23" s="30">
        <f>BD23/$B$19</f>
        <v>0</v>
      </c>
      <c r="BF23" s="33">
        <f>BE23*20</f>
        <v>0</v>
      </c>
      <c r="BG23" s="33">
        <f>BF23*$B$32</f>
        <v>0</v>
      </c>
      <c r="BH23" s="33">
        <f>BG23/$B$22</f>
        <v>0</v>
      </c>
      <c r="BI23" s="36">
        <v>2.5936499999999999E-3</v>
      </c>
      <c r="BJ23" s="36">
        <f t="shared" ref="BJ23:BJ24" si="116">BH23-BI23</f>
        <v>-2.5936499999999999E-3</v>
      </c>
      <c r="BK23" s="36">
        <v>0</v>
      </c>
    </row>
    <row r="24" spans="1:63">
      <c r="A24" s="1" t="s">
        <v>0</v>
      </c>
      <c r="B24" s="1" t="s">
        <v>1</v>
      </c>
      <c r="C24" s="1" t="s">
        <v>2</v>
      </c>
      <c r="D24" s="1" t="s">
        <v>3</v>
      </c>
      <c r="H24" t="s">
        <v>57</v>
      </c>
      <c r="I24">
        <f>I23</f>
        <v>2</v>
      </c>
      <c r="J24">
        <f t="shared" ref="J24:L24" si="117">J23</f>
        <v>7</v>
      </c>
      <c r="K24">
        <f t="shared" si="117"/>
        <v>0</v>
      </c>
      <c r="L24">
        <f t="shared" si="117"/>
        <v>28</v>
      </c>
      <c r="M24">
        <f>F18-M23</f>
        <v>42</v>
      </c>
      <c r="N24">
        <f t="shared" si="33"/>
        <v>0</v>
      </c>
      <c r="O24" s="7">
        <f t="shared" si="0"/>
        <v>0</v>
      </c>
      <c r="P24" s="7">
        <f t="shared" si="1"/>
        <v>0</v>
      </c>
      <c r="Q24" s="7">
        <f>P24*C32</f>
        <v>0</v>
      </c>
      <c r="R24" s="7">
        <f t="shared" si="2"/>
        <v>0</v>
      </c>
      <c r="T24" s="30" t="s">
        <v>135</v>
      </c>
      <c r="U24" s="30">
        <f>$B$3+$B$5</f>
        <v>3</v>
      </c>
      <c r="V24" s="30">
        <f>$C$3+$C$5</f>
        <v>1</v>
      </c>
      <c r="W24" s="30">
        <f t="shared" ref="W24" si="118">$D$14</f>
        <v>3</v>
      </c>
      <c r="X24" s="30">
        <f>$E$3+$E$5</f>
        <v>32</v>
      </c>
      <c r="Y24" s="30">
        <f t="shared" ref="Y24:Y29" si="119">$F$3+$F$5</f>
        <v>4</v>
      </c>
      <c r="Z24" s="30">
        <f t="shared" ref="Z24:Z25" si="120">PRODUCT(U24:Y24)</f>
        <v>1152</v>
      </c>
      <c r="AA24" s="31">
        <f t="shared" ref="AA24:AA25" si="121">Z24/$B$19</f>
        <v>1.4822134387351778E-5</v>
      </c>
      <c r="AB24" s="32">
        <f t="shared" ref="AB24:AB25" si="122">AA24*20</f>
        <v>2.9644268774703554E-4</v>
      </c>
      <c r="AC24" s="33">
        <f t="shared" ref="AC24:AC29" si="123">AB24*$B$26</f>
        <v>1.4822134387351776E-2</v>
      </c>
      <c r="AD24" s="33">
        <f t="shared" ref="AD24:AD25" si="124">AC24/$B$22</f>
        <v>1.4822134387351775E-3</v>
      </c>
      <c r="AE24" s="7">
        <v>1.4903E-3</v>
      </c>
      <c r="AF24" s="7">
        <f t="shared" si="34"/>
        <v>-8.0865612648224096E-6</v>
      </c>
      <c r="AG24" s="7">
        <f t="shared" si="13"/>
        <v>-5.4557333333335204E-3</v>
      </c>
      <c r="AI24" s="30" t="s">
        <v>186</v>
      </c>
      <c r="AJ24" s="30">
        <f t="shared" ref="AJ24:AJ41" si="125">$B$3+$B$8</f>
        <v>4</v>
      </c>
      <c r="AK24" s="30">
        <f>$C$3+$C$8</f>
        <v>9</v>
      </c>
      <c r="AL24" s="30">
        <f t="shared" ref="AL24" si="126">$D$14</f>
        <v>3</v>
      </c>
      <c r="AM24" s="30">
        <f>$E$3+$E$8</f>
        <v>34</v>
      </c>
      <c r="AN24" s="30">
        <f t="shared" ref="AN24:AN29" si="127">$F$3+$F$8</f>
        <v>5</v>
      </c>
      <c r="AO24" s="30">
        <f t="shared" ref="AO24:AO25" si="128">PRODUCT(AJ24:AN24)</f>
        <v>18360</v>
      </c>
      <c r="AP24" s="31">
        <f t="shared" ref="AP24:AP25" si="129">AO24/$B$19</f>
        <v>2.3622776679841896E-4</v>
      </c>
      <c r="AQ24" s="33">
        <f t="shared" ref="AQ24:AQ25" si="130">AP24*20</f>
        <v>4.7245553359683791E-3</v>
      </c>
      <c r="AR24" s="33">
        <f t="shared" ref="AR24:AR29" si="131">AQ24*$B$29</f>
        <v>0.18898221343873517</v>
      </c>
      <c r="AS24" s="33">
        <f t="shared" ref="AS24:AS25" si="132">AR24/$B$22</f>
        <v>1.8898221343873516E-2</v>
      </c>
      <c r="AT24" s="36">
        <v>1.88954E-2</v>
      </c>
      <c r="AU24" s="36">
        <f t="shared" si="115"/>
        <v>2.8213438735165408E-6</v>
      </c>
      <c r="AV24" s="36">
        <f t="shared" ref="AV24:AV29" si="133">AU24/AS24</f>
        <v>1.4929150326790794E-4</v>
      </c>
      <c r="AX24" s="30" t="s">
        <v>238</v>
      </c>
      <c r="AY24" s="30">
        <f t="shared" ref="AY24:AY41" si="134">$B$3+$B$11</f>
        <v>2</v>
      </c>
      <c r="AZ24" s="30">
        <f>$C$3+$C$11</f>
        <v>7</v>
      </c>
      <c r="BA24" s="30">
        <f t="shared" ref="BA24" si="135">$D$14</f>
        <v>3</v>
      </c>
      <c r="BB24" s="30">
        <f>$E$3+$E$11</f>
        <v>28</v>
      </c>
      <c r="BC24" s="30">
        <f t="shared" ref="BC24:BC29" si="136">$F$3+$F$11</f>
        <v>6</v>
      </c>
      <c r="BD24" s="30">
        <f t="shared" ref="BD24:BD25" si="137">PRODUCT(AY24:BC24)</f>
        <v>7056</v>
      </c>
      <c r="BE24" s="30">
        <f t="shared" ref="BE24:BE25" si="138">BD24/$B$19</f>
        <v>9.0785573122529638E-5</v>
      </c>
      <c r="BF24" s="33">
        <f t="shared" ref="BF24:BF25" si="139">BE24*20</f>
        <v>1.8157114624505928E-3</v>
      </c>
      <c r="BG24" s="33">
        <f t="shared" ref="BG24:BG29" si="140">BF24*$B$32</f>
        <v>4.5392786561264817E-2</v>
      </c>
      <c r="BH24" s="33">
        <f t="shared" ref="BH24:BH25" si="141">BG24/$B$22</f>
        <v>4.539278656126482E-3</v>
      </c>
      <c r="BI24" s="36">
        <v>4.5286500000000004E-3</v>
      </c>
      <c r="BJ24" s="36">
        <f t="shared" si="116"/>
        <v>1.0628656126481645E-5</v>
      </c>
      <c r="BK24" s="36">
        <f t="shared" ref="BK24:BK29" si="142">BJ24/BH24</f>
        <v>2.3414857142855889E-3</v>
      </c>
    </row>
    <row r="25" spans="1:63">
      <c r="A25" t="s">
        <v>4</v>
      </c>
      <c r="B25" s="2">
        <v>75</v>
      </c>
      <c r="C25" s="2">
        <v>25</v>
      </c>
      <c r="D25" s="2">
        <v>2</v>
      </c>
      <c r="H25" t="s">
        <v>58</v>
      </c>
      <c r="I25">
        <f>I23</f>
        <v>2</v>
      </c>
      <c r="J25">
        <f t="shared" ref="J25:K25" si="143">J23</f>
        <v>7</v>
      </c>
      <c r="K25">
        <f t="shared" si="143"/>
        <v>0</v>
      </c>
      <c r="L25">
        <f>E18-L23</f>
        <v>27</v>
      </c>
      <c r="M25">
        <f>F18</f>
        <v>48</v>
      </c>
      <c r="N25">
        <f t="shared" si="33"/>
        <v>0</v>
      </c>
      <c r="O25" s="7">
        <f t="shared" si="0"/>
        <v>0</v>
      </c>
      <c r="P25" s="7">
        <f t="shared" si="1"/>
        <v>0</v>
      </c>
      <c r="Q25" s="7">
        <f>P25*D32</f>
        <v>0</v>
      </c>
      <c r="R25" s="7">
        <f t="shared" si="2"/>
        <v>0</v>
      </c>
      <c r="T25" s="30" t="s">
        <v>136</v>
      </c>
      <c r="U25" s="30">
        <f t="shared" ref="U25:U41" si="144">$B$3+$B$5</f>
        <v>3</v>
      </c>
      <c r="V25" s="30">
        <f>$C$3+$C$5</f>
        <v>1</v>
      </c>
      <c r="W25" s="30">
        <f>$D$3+$D$5</f>
        <v>4</v>
      </c>
      <c r="X25" s="30">
        <f>$E$14</f>
        <v>3</v>
      </c>
      <c r="Y25" s="30">
        <f t="shared" si="119"/>
        <v>4</v>
      </c>
      <c r="Z25" s="30">
        <f t="shared" si="120"/>
        <v>144</v>
      </c>
      <c r="AA25" s="31">
        <f t="shared" si="121"/>
        <v>1.8527667984189723E-6</v>
      </c>
      <c r="AB25" s="32">
        <f t="shared" si="122"/>
        <v>3.7055335968379443E-5</v>
      </c>
      <c r="AC25" s="33">
        <f t="shared" si="123"/>
        <v>1.852766798418972E-3</v>
      </c>
      <c r="AD25" s="33">
        <f t="shared" si="124"/>
        <v>1.8527667984189719E-4</v>
      </c>
      <c r="AE25" s="7">
        <v>1.8359999999999999E-4</v>
      </c>
      <c r="AF25" s="7">
        <f t="shared" si="34"/>
        <v>1.6766798418972031E-6</v>
      </c>
      <c r="AG25" s="7">
        <f t="shared" si="13"/>
        <v>9.0495999999998401E-3</v>
      </c>
      <c r="AI25" s="30" t="s">
        <v>187</v>
      </c>
      <c r="AJ25" s="30">
        <f t="shared" si="125"/>
        <v>4</v>
      </c>
      <c r="AK25" s="30">
        <f>$C$3+$C$8</f>
        <v>9</v>
      </c>
      <c r="AL25" s="30">
        <f>$D$3+$D$8</f>
        <v>4</v>
      </c>
      <c r="AM25" s="30">
        <f>$E$14</f>
        <v>3</v>
      </c>
      <c r="AN25" s="30">
        <f t="shared" si="127"/>
        <v>5</v>
      </c>
      <c r="AO25" s="30">
        <f t="shared" si="128"/>
        <v>2160</v>
      </c>
      <c r="AP25" s="31">
        <f t="shared" si="129"/>
        <v>2.7791501976284584E-5</v>
      </c>
      <c r="AQ25" s="33">
        <f t="shared" si="130"/>
        <v>5.5583003952569163E-4</v>
      </c>
      <c r="AR25" s="33">
        <f t="shared" si="131"/>
        <v>2.2233201581027665E-2</v>
      </c>
      <c r="AS25" s="33">
        <f t="shared" si="132"/>
        <v>2.2233201581027665E-3</v>
      </c>
      <c r="AT25" s="36">
        <v>2.2269199999999999E-3</v>
      </c>
      <c r="AU25" s="36">
        <f>AS25-AT25</f>
        <v>-3.5998418972333149E-6</v>
      </c>
      <c r="AV25" s="36">
        <f t="shared" si="133"/>
        <v>-1.6191288888889399E-3</v>
      </c>
      <c r="AX25" s="30" t="s">
        <v>239</v>
      </c>
      <c r="AY25" s="30">
        <f t="shared" si="134"/>
        <v>2</v>
      </c>
      <c r="AZ25" s="30">
        <f>$C$3+$C$11</f>
        <v>7</v>
      </c>
      <c r="BA25" s="30">
        <f>$D$3+$D$11</f>
        <v>0</v>
      </c>
      <c r="BB25" s="30">
        <f>$E$14</f>
        <v>3</v>
      </c>
      <c r="BC25" s="30">
        <f t="shared" si="136"/>
        <v>6</v>
      </c>
      <c r="BD25" s="30">
        <f t="shared" si="137"/>
        <v>0</v>
      </c>
      <c r="BE25" s="30">
        <f t="shared" si="138"/>
        <v>0</v>
      </c>
      <c r="BF25" s="33">
        <f t="shared" si="139"/>
        <v>0</v>
      </c>
      <c r="BG25" s="33">
        <f t="shared" si="140"/>
        <v>0</v>
      </c>
      <c r="BH25" s="33">
        <f t="shared" si="141"/>
        <v>0</v>
      </c>
      <c r="BI25" s="36">
        <v>8.3365000000000002E-4</v>
      </c>
      <c r="BJ25" s="36">
        <f>BH25-BI25</f>
        <v>-8.3365000000000002E-4</v>
      </c>
      <c r="BK25" s="36">
        <v>0</v>
      </c>
    </row>
    <row r="26" spans="1:63">
      <c r="A26" t="s">
        <v>5</v>
      </c>
      <c r="B26" s="2">
        <v>50</v>
      </c>
      <c r="C26" s="2">
        <v>12</v>
      </c>
      <c r="D26" s="2">
        <v>2</v>
      </c>
      <c r="H26" s="8" t="s">
        <v>59</v>
      </c>
      <c r="I26" s="8">
        <f>B3+B12</f>
        <v>2</v>
      </c>
      <c r="J26" s="8">
        <f>C3+C12</f>
        <v>7</v>
      </c>
      <c r="K26" s="8">
        <f>D3+D12</f>
        <v>0</v>
      </c>
      <c r="L26" s="8">
        <f>E3+E12</f>
        <v>32</v>
      </c>
      <c r="M26" s="8">
        <f>F3+F12</f>
        <v>6</v>
      </c>
      <c r="N26" s="8">
        <f t="shared" si="33"/>
        <v>0</v>
      </c>
      <c r="O26" s="9">
        <f t="shared" si="0"/>
        <v>0</v>
      </c>
      <c r="P26" s="9">
        <f t="shared" si="1"/>
        <v>0</v>
      </c>
      <c r="Q26" s="9">
        <f>P26*B33</f>
        <v>0</v>
      </c>
      <c r="R26" s="9">
        <f t="shared" si="2"/>
        <v>0</v>
      </c>
      <c r="T26" s="29" t="s">
        <v>137</v>
      </c>
      <c r="U26" s="30">
        <f t="shared" si="144"/>
        <v>3</v>
      </c>
      <c r="V26" s="30">
        <f>$C$14</f>
        <v>3</v>
      </c>
      <c r="W26" s="30">
        <f>$D$14</f>
        <v>3</v>
      </c>
      <c r="X26" s="30">
        <f>$E$3+$E$5</f>
        <v>32</v>
      </c>
      <c r="Y26" s="30">
        <f t="shared" si="119"/>
        <v>4</v>
      </c>
      <c r="Z26" s="30">
        <f>PRODUCT(U26:Y26)</f>
        <v>3456</v>
      </c>
      <c r="AA26" s="31">
        <f>Z26/$B$19</f>
        <v>4.4466403162055333E-5</v>
      </c>
      <c r="AB26" s="32">
        <f>AA26*$A$22</f>
        <v>4.4466403162055333E-5</v>
      </c>
      <c r="AC26" s="33">
        <f t="shared" si="123"/>
        <v>2.2233201581027665E-3</v>
      </c>
      <c r="AD26" s="33">
        <f>AC26/$B$22</f>
        <v>2.2233201581027664E-4</v>
      </c>
      <c r="AE26" s="7">
        <v>4.4588500000000003E-3</v>
      </c>
      <c r="AF26" s="7">
        <f t="shared" si="34"/>
        <v>-4.236517984189724E-3</v>
      </c>
      <c r="AG26" s="7">
        <f t="shared" si="13"/>
        <v>-19.054916444444451</v>
      </c>
      <c r="AI26" s="29" t="s">
        <v>188</v>
      </c>
      <c r="AJ26" s="30">
        <f t="shared" si="125"/>
        <v>4</v>
      </c>
      <c r="AK26" s="30">
        <f>$C$14</f>
        <v>3</v>
      </c>
      <c r="AL26" s="30">
        <f>$D$14</f>
        <v>3</v>
      </c>
      <c r="AM26" s="30">
        <f>$E$3+$E$8</f>
        <v>34</v>
      </c>
      <c r="AN26" s="30">
        <f t="shared" si="127"/>
        <v>5</v>
      </c>
      <c r="AO26" s="30">
        <f>PRODUCT(AJ26:AN26)</f>
        <v>6120</v>
      </c>
      <c r="AP26" s="31">
        <f>AO26/$B$19</f>
        <v>7.874258893280633E-5</v>
      </c>
      <c r="AQ26" s="33">
        <f>AP26*$A$22</f>
        <v>7.874258893280633E-5</v>
      </c>
      <c r="AR26" s="33">
        <f t="shared" si="131"/>
        <v>3.149703557312253E-3</v>
      </c>
      <c r="AS26" s="33">
        <f>AR26/$B$22</f>
        <v>3.1497035573122532E-4</v>
      </c>
      <c r="AT26" s="36">
        <v>6.3103999999999999E-3</v>
      </c>
      <c r="AU26" s="36">
        <f t="shared" ref="AU26:AU27" si="145">AS26-AT26</f>
        <v>-5.9954296442687747E-3</v>
      </c>
      <c r="AV26" s="36">
        <f t="shared" si="133"/>
        <v>-19.03490133333333</v>
      </c>
      <c r="AX26" s="30" t="s">
        <v>240</v>
      </c>
      <c r="AY26" s="30">
        <f t="shared" si="134"/>
        <v>2</v>
      </c>
      <c r="AZ26" s="30">
        <f>$C$14</f>
        <v>3</v>
      </c>
      <c r="BA26" s="30">
        <f>$D$14</f>
        <v>3</v>
      </c>
      <c r="BB26" s="30">
        <f>$E$3+$E$11</f>
        <v>28</v>
      </c>
      <c r="BC26" s="30">
        <f t="shared" si="136"/>
        <v>6</v>
      </c>
      <c r="BD26" s="30">
        <f>PRODUCT(AY26:BC26)</f>
        <v>3024</v>
      </c>
      <c r="BE26" s="30">
        <f>BD26/$B$19</f>
        <v>3.8908102766798422E-5</v>
      </c>
      <c r="BF26" s="33">
        <f>BE26*$A$22</f>
        <v>3.8908102766798422E-5</v>
      </c>
      <c r="BG26" s="33">
        <f t="shared" si="140"/>
        <v>9.727025691699605E-4</v>
      </c>
      <c r="BH26" s="33">
        <f>BG26/$B$22</f>
        <v>9.7270256916996055E-5</v>
      </c>
      <c r="BI26" s="36">
        <v>1.9443500000000001E-3</v>
      </c>
      <c r="BJ26" s="36">
        <f t="shared" ref="BJ26:BJ27" si="146">BH26-BI26</f>
        <v>-1.8470797430830039E-3</v>
      </c>
      <c r="BK26" s="36">
        <f t="shared" si="142"/>
        <v>-18.989152507936506</v>
      </c>
    </row>
    <row r="27" spans="1:63">
      <c r="A27" t="s">
        <v>6</v>
      </c>
      <c r="B27" s="2">
        <v>50</v>
      </c>
      <c r="C27" s="2">
        <v>12</v>
      </c>
      <c r="D27" s="2">
        <v>2</v>
      </c>
      <c r="H27" t="s">
        <v>60</v>
      </c>
      <c r="I27">
        <f>I26</f>
        <v>2</v>
      </c>
      <c r="J27">
        <f t="shared" ref="J27:L27" si="147">J26</f>
        <v>7</v>
      </c>
      <c r="K27">
        <f t="shared" si="147"/>
        <v>0</v>
      </c>
      <c r="L27">
        <f t="shared" si="147"/>
        <v>32</v>
      </c>
      <c r="M27">
        <f>F18-M26</f>
        <v>42</v>
      </c>
      <c r="N27">
        <f t="shared" si="33"/>
        <v>0</v>
      </c>
      <c r="O27" s="7">
        <f t="shared" si="0"/>
        <v>0</v>
      </c>
      <c r="P27" s="7">
        <f t="shared" si="1"/>
        <v>0</v>
      </c>
      <c r="Q27" s="7">
        <f>P27*C33</f>
        <v>0</v>
      </c>
      <c r="R27" s="7">
        <f t="shared" si="2"/>
        <v>0</v>
      </c>
      <c r="T27" s="30" t="s">
        <v>138</v>
      </c>
      <c r="U27" s="30">
        <f>$B$3+$B$5</f>
        <v>3</v>
      </c>
      <c r="V27" s="30">
        <f>$C$14</f>
        <v>3</v>
      </c>
      <c r="W27" s="30">
        <f>$D$3+$D$5</f>
        <v>4</v>
      </c>
      <c r="X27" s="30">
        <f>$E$14</f>
        <v>3</v>
      </c>
      <c r="Y27" s="30">
        <f t="shared" si="119"/>
        <v>4</v>
      </c>
      <c r="Z27" s="30">
        <f t="shared" ref="Z27:Z41" si="148">PRODUCT(U27:Y27)</f>
        <v>432</v>
      </c>
      <c r="AA27" s="31">
        <f t="shared" ref="AA27:AA41" si="149">Z27/$B$19</f>
        <v>5.5583003952569166E-6</v>
      </c>
      <c r="AB27" s="32">
        <f t="shared" ref="AB27:AB41" si="150">AA27*$A$22</f>
        <v>5.5583003952569166E-6</v>
      </c>
      <c r="AC27" s="33">
        <f t="shared" si="123"/>
        <v>2.7791501976284582E-4</v>
      </c>
      <c r="AD27" s="33">
        <f t="shared" ref="AD27:AD41" si="151">AC27/$B$22</f>
        <v>2.779150197628458E-5</v>
      </c>
      <c r="AE27" s="7">
        <v>5.4670000000000001E-4</v>
      </c>
      <c r="AF27" s="7">
        <f t="shared" si="34"/>
        <v>-5.1890849802371547E-4</v>
      </c>
      <c r="AG27" s="7">
        <f t="shared" si="13"/>
        <v>-18.671480888888894</v>
      </c>
      <c r="AI27" s="30" t="s">
        <v>189</v>
      </c>
      <c r="AJ27" s="30">
        <f t="shared" si="125"/>
        <v>4</v>
      </c>
      <c r="AK27" s="30">
        <f>$C$14</f>
        <v>3</v>
      </c>
      <c r="AL27" s="30">
        <f>$D$3+$D$8</f>
        <v>4</v>
      </c>
      <c r="AM27" s="30">
        <f>$E$14</f>
        <v>3</v>
      </c>
      <c r="AN27" s="30">
        <f t="shared" si="127"/>
        <v>5</v>
      </c>
      <c r="AO27" s="30">
        <f t="shared" ref="AO27:AO29" si="152">PRODUCT(AJ27:AN27)</f>
        <v>720</v>
      </c>
      <c r="AP27" s="31">
        <f t="shared" ref="AP27:AP29" si="153">AO27/$B$19</f>
        <v>9.2638339920948624E-6</v>
      </c>
      <c r="AQ27" s="33">
        <f t="shared" ref="AQ27:AQ29" si="154">AP27*$A$22</f>
        <v>9.2638339920948624E-6</v>
      </c>
      <c r="AR27" s="33">
        <f t="shared" si="131"/>
        <v>3.705533596837945E-4</v>
      </c>
      <c r="AS27" s="33">
        <f t="shared" ref="AS27:AS29" si="155">AR27/$B$22</f>
        <v>3.705533596837945E-5</v>
      </c>
      <c r="AT27" s="36">
        <v>7.3912000000000001E-4</v>
      </c>
      <c r="AU27" s="36">
        <f t="shared" si="145"/>
        <v>-7.0206466403162056E-4</v>
      </c>
      <c r="AV27" s="36">
        <f t="shared" si="133"/>
        <v>-18.946385066666664</v>
      </c>
      <c r="AX27" s="30" t="s">
        <v>241</v>
      </c>
      <c r="AY27" s="30">
        <f t="shared" si="134"/>
        <v>2</v>
      </c>
      <c r="AZ27" s="30">
        <f>$C$14</f>
        <v>3</v>
      </c>
      <c r="BA27" s="30">
        <f>$D$3+$D$11</f>
        <v>0</v>
      </c>
      <c r="BB27" s="30">
        <f>$E$14</f>
        <v>3</v>
      </c>
      <c r="BC27" s="30">
        <f t="shared" si="136"/>
        <v>6</v>
      </c>
      <c r="BD27" s="30">
        <f t="shared" ref="BD27:BD29" si="156">PRODUCT(AY27:BC27)</f>
        <v>0</v>
      </c>
      <c r="BE27" s="30">
        <f t="shared" ref="BE27:BE29" si="157">BD27/$B$19</f>
        <v>0</v>
      </c>
      <c r="BF27" s="33">
        <f t="shared" ref="BF27:BF29" si="158">BE27*$A$22</f>
        <v>0</v>
      </c>
      <c r="BG27" s="33">
        <f t="shared" si="140"/>
        <v>0</v>
      </c>
      <c r="BH27" s="33">
        <f t="shared" ref="BH27:BH29" si="159">BG27/$B$22</f>
        <v>0</v>
      </c>
      <c r="BI27" s="36">
        <v>2.7545E-4</v>
      </c>
      <c r="BJ27" s="36">
        <f t="shared" si="146"/>
        <v>-2.7545E-4</v>
      </c>
      <c r="BK27" s="36">
        <v>0</v>
      </c>
    </row>
    <row r="28" spans="1:63">
      <c r="A28" t="s">
        <v>7</v>
      </c>
      <c r="B28" s="2">
        <v>50</v>
      </c>
      <c r="C28" s="2">
        <v>12</v>
      </c>
      <c r="D28" s="2">
        <v>2</v>
      </c>
      <c r="H28" t="s">
        <v>61</v>
      </c>
      <c r="I28">
        <f>I26</f>
        <v>2</v>
      </c>
      <c r="J28">
        <f t="shared" ref="J28:K28" si="160">J26</f>
        <v>7</v>
      </c>
      <c r="K28">
        <f t="shared" si="160"/>
        <v>0</v>
      </c>
      <c r="L28">
        <f>E18-L26</f>
        <v>23</v>
      </c>
      <c r="M28">
        <f>F18</f>
        <v>48</v>
      </c>
      <c r="N28">
        <f t="shared" si="33"/>
        <v>0</v>
      </c>
      <c r="O28" s="7">
        <f t="shared" si="0"/>
        <v>0</v>
      </c>
      <c r="P28" s="7">
        <f t="shared" si="1"/>
        <v>0</v>
      </c>
      <c r="Q28" s="7">
        <f>P28*D33</f>
        <v>0</v>
      </c>
      <c r="R28" s="7">
        <f t="shared" si="2"/>
        <v>0</v>
      </c>
      <c r="T28" s="30" t="s">
        <v>139</v>
      </c>
      <c r="U28" s="30">
        <f t="shared" si="144"/>
        <v>3</v>
      </c>
      <c r="V28" s="30">
        <f>$C$3+$C$5</f>
        <v>1</v>
      </c>
      <c r="W28" s="30">
        <f>$D$14</f>
        <v>3</v>
      </c>
      <c r="X28" s="30">
        <f>$E$14</f>
        <v>3</v>
      </c>
      <c r="Y28" s="30">
        <f t="shared" si="119"/>
        <v>4</v>
      </c>
      <c r="Z28" s="30">
        <f t="shared" si="148"/>
        <v>108</v>
      </c>
      <c r="AA28" s="31">
        <f t="shared" si="149"/>
        <v>1.3895750988142291E-6</v>
      </c>
      <c r="AB28" s="32">
        <f t="shared" si="150"/>
        <v>1.3895750988142291E-6</v>
      </c>
      <c r="AC28" s="33">
        <f t="shared" si="123"/>
        <v>6.9478754940711454E-5</v>
      </c>
      <c r="AD28" s="33">
        <f t="shared" si="151"/>
        <v>6.9478754940711451E-6</v>
      </c>
      <c r="AE28" s="7">
        <v>1.4124999999999999E-4</v>
      </c>
      <c r="AF28" s="7">
        <f t="shared" si="34"/>
        <v>-1.3430212450592886E-4</v>
      </c>
      <c r="AG28" s="7">
        <f t="shared" si="13"/>
        <v>-19.329955555555561</v>
      </c>
      <c r="AI28" s="30" t="s">
        <v>190</v>
      </c>
      <c r="AJ28" s="30">
        <f t="shared" si="125"/>
        <v>4</v>
      </c>
      <c r="AK28" s="30">
        <f>$C$3+$C$8</f>
        <v>9</v>
      </c>
      <c r="AL28" s="30">
        <f>$D$14</f>
        <v>3</v>
      </c>
      <c r="AM28" s="30">
        <f>$E$14</f>
        <v>3</v>
      </c>
      <c r="AN28" s="30">
        <f t="shared" si="127"/>
        <v>5</v>
      </c>
      <c r="AO28" s="30">
        <f t="shared" si="152"/>
        <v>1620</v>
      </c>
      <c r="AP28" s="31">
        <f t="shared" si="153"/>
        <v>2.084362648221344E-5</v>
      </c>
      <c r="AQ28" s="33">
        <f t="shared" si="154"/>
        <v>2.084362648221344E-5</v>
      </c>
      <c r="AR28" s="33">
        <f t="shared" si="131"/>
        <v>8.3374505928853761E-4</v>
      </c>
      <c r="AS28" s="33">
        <f t="shared" si="155"/>
        <v>8.3374505928853761E-5</v>
      </c>
      <c r="AT28" s="36">
        <v>1.66592E-3</v>
      </c>
      <c r="AU28" s="36">
        <v>0</v>
      </c>
      <c r="AV28" s="36">
        <f t="shared" si="133"/>
        <v>0</v>
      </c>
      <c r="AX28" s="30" t="s">
        <v>242</v>
      </c>
      <c r="AY28" s="30">
        <f t="shared" si="134"/>
        <v>2</v>
      </c>
      <c r="AZ28" s="30">
        <f>$C$3+$C$11</f>
        <v>7</v>
      </c>
      <c r="BA28" s="30">
        <f>$D$14</f>
        <v>3</v>
      </c>
      <c r="BB28" s="30">
        <f>$E$14</f>
        <v>3</v>
      </c>
      <c r="BC28" s="30">
        <f t="shared" si="136"/>
        <v>6</v>
      </c>
      <c r="BD28" s="30">
        <f t="shared" si="156"/>
        <v>756</v>
      </c>
      <c r="BE28" s="30">
        <f t="shared" si="157"/>
        <v>9.7270256916996055E-6</v>
      </c>
      <c r="BF28" s="33">
        <f t="shared" si="158"/>
        <v>9.7270256916996055E-6</v>
      </c>
      <c r="BG28" s="33">
        <f t="shared" si="140"/>
        <v>2.4317564229249012E-4</v>
      </c>
      <c r="BH28" s="33">
        <f t="shared" si="159"/>
        <v>2.4317564229249014E-5</v>
      </c>
      <c r="BI28" s="36">
        <v>1.24485E-3</v>
      </c>
      <c r="BJ28" s="36">
        <v>0</v>
      </c>
      <c r="BK28" s="36">
        <f t="shared" si="142"/>
        <v>0</v>
      </c>
    </row>
    <row r="29" spans="1:63">
      <c r="A29" t="s">
        <v>8</v>
      </c>
      <c r="B29" s="2">
        <v>40</v>
      </c>
      <c r="C29" s="2">
        <v>7</v>
      </c>
      <c r="D29" s="2">
        <v>2</v>
      </c>
      <c r="O29" s="7">
        <f>SUM(O2:O28)</f>
        <v>9.7826086956521747E-3</v>
      </c>
      <c r="P29" s="7">
        <f t="shared" ref="P29:R29" si="161">SUM(P2:P28)</f>
        <v>9.7826086956521747E-3</v>
      </c>
      <c r="Q29" s="7">
        <f t="shared" si="161"/>
        <v>7.1852766798418968E-2</v>
      </c>
      <c r="R29" s="7">
        <f t="shared" si="161"/>
        <v>7.185276679841898E-3</v>
      </c>
      <c r="T29" s="30" t="s">
        <v>140</v>
      </c>
      <c r="U29" s="30">
        <f t="shared" si="144"/>
        <v>3</v>
      </c>
      <c r="V29" s="30">
        <f>$C$14</f>
        <v>3</v>
      </c>
      <c r="W29" s="30">
        <f>$D$14</f>
        <v>3</v>
      </c>
      <c r="X29" s="30">
        <f>$E$14</f>
        <v>3</v>
      </c>
      <c r="Y29" s="30">
        <f t="shared" si="119"/>
        <v>4</v>
      </c>
      <c r="Z29" s="30">
        <f t="shared" si="148"/>
        <v>324</v>
      </c>
      <c r="AA29" s="31">
        <f t="shared" si="149"/>
        <v>4.1687252964426881E-6</v>
      </c>
      <c r="AB29" s="32">
        <f t="shared" si="150"/>
        <v>4.1687252964426881E-6</v>
      </c>
      <c r="AC29" s="33">
        <f t="shared" si="123"/>
        <v>2.084362648221344E-4</v>
      </c>
      <c r="AD29" s="33">
        <f t="shared" si="151"/>
        <v>2.084362648221344E-5</v>
      </c>
      <c r="AE29" s="7">
        <v>4.1060000000000001E-4</v>
      </c>
      <c r="AF29" s="7">
        <f t="shared" si="34"/>
        <v>-3.8975637351778658E-4</v>
      </c>
      <c r="AG29" s="7">
        <f t="shared" si="13"/>
        <v>-18.699067259259259</v>
      </c>
      <c r="AI29" s="30" t="s">
        <v>191</v>
      </c>
      <c r="AJ29" s="30">
        <f t="shared" si="125"/>
        <v>4</v>
      </c>
      <c r="AK29" s="30">
        <f>$C$14</f>
        <v>3</v>
      </c>
      <c r="AL29" s="30">
        <f>$D$14</f>
        <v>3</v>
      </c>
      <c r="AM29" s="30">
        <f>$E$14</f>
        <v>3</v>
      </c>
      <c r="AN29" s="30">
        <f t="shared" si="127"/>
        <v>5</v>
      </c>
      <c r="AO29" s="30">
        <f t="shared" si="152"/>
        <v>540</v>
      </c>
      <c r="AP29" s="31">
        <f t="shared" si="153"/>
        <v>6.9478754940711459E-6</v>
      </c>
      <c r="AQ29" s="33">
        <f t="shared" si="154"/>
        <v>6.9478754940711459E-6</v>
      </c>
      <c r="AR29" s="33">
        <f t="shared" si="131"/>
        <v>2.7791501976284582E-4</v>
      </c>
      <c r="AS29" s="33">
        <f t="shared" si="155"/>
        <v>2.779150197628458E-5</v>
      </c>
      <c r="AT29" s="36">
        <v>5.5148000000000003E-4</v>
      </c>
      <c r="AU29" s="36">
        <f t="shared" ref="AU29" si="162">AS29-AT29</f>
        <v>-5.2368849802371549E-4</v>
      </c>
      <c r="AV29" s="36">
        <f t="shared" si="133"/>
        <v>-18.843475911111117</v>
      </c>
      <c r="AX29" s="30" t="s">
        <v>243</v>
      </c>
      <c r="AY29" s="30">
        <f t="shared" si="134"/>
        <v>2</v>
      </c>
      <c r="AZ29" s="30">
        <f>$C$14</f>
        <v>3</v>
      </c>
      <c r="BA29" s="30">
        <f>$D$14</f>
        <v>3</v>
      </c>
      <c r="BB29" s="30">
        <f>$E$14</f>
        <v>3</v>
      </c>
      <c r="BC29" s="30">
        <f t="shared" si="136"/>
        <v>6</v>
      </c>
      <c r="BD29" s="30">
        <f t="shared" si="156"/>
        <v>324</v>
      </c>
      <c r="BE29" s="30">
        <f t="shared" si="157"/>
        <v>4.1687252964426881E-6</v>
      </c>
      <c r="BF29" s="33">
        <f t="shared" si="158"/>
        <v>4.1687252964426881E-6</v>
      </c>
      <c r="BG29" s="33">
        <f t="shared" si="140"/>
        <v>1.042181324110672E-4</v>
      </c>
      <c r="BH29" s="33">
        <f t="shared" si="159"/>
        <v>1.042181324110672E-5</v>
      </c>
      <c r="BI29" s="36">
        <v>2.0832500000000001E-4</v>
      </c>
      <c r="BJ29" s="36">
        <f t="shared" ref="BJ29" si="163">BH29-BI29</f>
        <v>-1.979031867588933E-4</v>
      </c>
      <c r="BK29" s="36">
        <f t="shared" si="142"/>
        <v>-18.98932385185185</v>
      </c>
    </row>
    <row r="30" spans="1:63">
      <c r="A30" t="s">
        <v>9</v>
      </c>
      <c r="B30" s="2">
        <v>25</v>
      </c>
      <c r="C30" s="2">
        <v>5</v>
      </c>
      <c r="D30" s="2">
        <v>2</v>
      </c>
      <c r="O30" s="7"/>
      <c r="P30" s="7"/>
      <c r="Q30" s="7"/>
      <c r="R30" s="7"/>
      <c r="AA30" s="15"/>
      <c r="AB30" s="10"/>
      <c r="AC30" s="7"/>
      <c r="AD30" s="7">
        <f>SUM(AD23:AD29)</f>
        <v>2.2418478260869557E-3</v>
      </c>
      <c r="AE30" s="7">
        <f t="shared" ref="AE30:AG30" si="164">SUM(AE23:AE29)</f>
        <v>1.3095200000000003E-2</v>
      </c>
      <c r="AF30" s="7">
        <f t="shared" si="164"/>
        <v>-1.0853352173913044E-2</v>
      </c>
      <c r="AG30" s="7">
        <f t="shared" si="164"/>
        <v>-94.532715614814833</v>
      </c>
      <c r="AP30" s="15"/>
      <c r="AQ30" s="7"/>
      <c r="AR30" s="7"/>
      <c r="AS30" s="7">
        <f>SUM(AS23:AS29)</f>
        <v>2.9983942687747039E-2</v>
      </c>
      <c r="AT30" s="36">
        <f t="shared" ref="AT30:AV30" si="165">SUM(AT23:AT29)</f>
        <v>3.8732080000000002E-2</v>
      </c>
      <c r="AU30" s="36">
        <f t="shared" si="165"/>
        <v>-7.1655918181818198E-3</v>
      </c>
      <c r="AV30" s="36">
        <f t="shared" si="165"/>
        <v>-56.819520863790842</v>
      </c>
      <c r="BF30" s="7"/>
      <c r="BG30" s="7"/>
      <c r="BH30" s="7">
        <f>SUM(BH23:BH29)</f>
        <v>4.6712882905138335E-3</v>
      </c>
      <c r="BI30" s="7">
        <f t="shared" ref="BI30:BK30" si="166">SUM(BI23:BI29)</f>
        <v>1.1628925000000002E-2</v>
      </c>
      <c r="BJ30" s="7">
        <f t="shared" si="166"/>
        <v>-5.7371042737154156E-3</v>
      </c>
      <c r="BK30" s="7">
        <f t="shared" si="166"/>
        <v>-37.97613487407407</v>
      </c>
    </row>
    <row r="31" spans="1:63">
      <c r="A31" t="s">
        <v>10</v>
      </c>
      <c r="B31" s="2">
        <v>25</v>
      </c>
      <c r="C31" s="2">
        <v>5</v>
      </c>
      <c r="D31" s="2">
        <v>2</v>
      </c>
      <c r="H31" s="3" t="s">
        <v>271</v>
      </c>
      <c r="I31" s="3"/>
      <c r="J31" s="3"/>
      <c r="K31" s="3"/>
      <c r="L31" s="3"/>
      <c r="M31" s="3"/>
      <c r="N31" s="3"/>
      <c r="O31" s="3"/>
      <c r="P31" s="3"/>
      <c r="Q31" s="3"/>
      <c r="R31" s="3"/>
      <c r="T31" s="30" t="s">
        <v>141</v>
      </c>
      <c r="U31" s="30">
        <f t="shared" si="144"/>
        <v>3</v>
      </c>
      <c r="V31" s="30">
        <f>$C$14</f>
        <v>3</v>
      </c>
      <c r="W31" s="30">
        <f>$D$3+$D$5</f>
        <v>4</v>
      </c>
      <c r="X31" s="30">
        <f>$E$3+$E$5</f>
        <v>32</v>
      </c>
      <c r="Y31" s="30">
        <f>$F$18-$F$14-$F$3-$F$5</f>
        <v>44</v>
      </c>
      <c r="Z31" s="30">
        <f t="shared" si="148"/>
        <v>50688</v>
      </c>
      <c r="AA31" s="31">
        <f t="shared" si="149"/>
        <v>6.5217391304347831E-4</v>
      </c>
      <c r="AB31" s="32">
        <f t="shared" si="150"/>
        <v>6.5217391304347831E-4</v>
      </c>
      <c r="AC31" s="33">
        <f>AB31*$C$26</f>
        <v>7.8260869565217397E-3</v>
      </c>
      <c r="AD31" s="33">
        <f t="shared" si="151"/>
        <v>7.8260869565217395E-4</v>
      </c>
      <c r="AE31" s="7">
        <v>1.5663239999999998E-2</v>
      </c>
      <c r="AF31" s="7">
        <f t="shared" si="34"/>
        <v>-1.4880631304347825E-2</v>
      </c>
      <c r="AG31" s="7">
        <f t="shared" si="13"/>
        <v>-19.014139999999998</v>
      </c>
      <c r="AI31" s="30" t="s">
        <v>192</v>
      </c>
      <c r="AJ31" s="30">
        <f t="shared" si="125"/>
        <v>4</v>
      </c>
      <c r="AK31" s="30">
        <f>$C$14</f>
        <v>3</v>
      </c>
      <c r="AL31" s="30">
        <f>$D$3+$D$8</f>
        <v>4</v>
      </c>
      <c r="AM31" s="30">
        <f>$E$3+$E$8</f>
        <v>34</v>
      </c>
      <c r="AN31" s="30">
        <f>$F$18-$F$3-$F$8-$F$14</f>
        <v>43</v>
      </c>
      <c r="AO31" s="30">
        <f t="shared" ref="AO31:AO37" si="167">PRODUCT(AJ31:AN31)</f>
        <v>70176</v>
      </c>
      <c r="AP31" s="31">
        <f t="shared" ref="AP31:AP37" si="168">AO31/$B$19</f>
        <v>9.0291501976284588E-4</v>
      </c>
      <c r="AQ31" s="33">
        <f t="shared" ref="AQ31:AQ37" si="169">AP31*$A$22</f>
        <v>9.0291501976284588E-4</v>
      </c>
      <c r="AR31" s="33">
        <f>AQ31*$C$29</f>
        <v>6.3204051383399214E-3</v>
      </c>
      <c r="AS31" s="33">
        <f t="shared" ref="AS31:AS37" si="170">AR31/$B$22</f>
        <v>6.3204051383399212E-4</v>
      </c>
      <c r="AT31" s="36">
        <v>1.2656854E-2</v>
      </c>
      <c r="AU31" s="36">
        <f t="shared" ref="AU31:AU37" si="171">AS31-AT31</f>
        <v>-1.2024813486166009E-2</v>
      </c>
      <c r="AV31" s="36">
        <f t="shared" ref="AV31:AV37" si="172">AU31/AS31</f>
        <v>-19.025384010943913</v>
      </c>
      <c r="AX31" s="37" t="s">
        <v>244</v>
      </c>
      <c r="AY31" s="37">
        <f t="shared" si="134"/>
        <v>2</v>
      </c>
      <c r="AZ31" s="37">
        <f>$C$14</f>
        <v>3</v>
      </c>
      <c r="BA31" s="37">
        <f>$D$3+$D$11</f>
        <v>0</v>
      </c>
      <c r="BB31" s="37">
        <f>$E$3+$E$11</f>
        <v>28</v>
      </c>
      <c r="BC31" s="37">
        <f>$F$18-$F$3-$F$11-$F$14</f>
        <v>42</v>
      </c>
      <c r="BD31" s="37">
        <f t="shared" ref="BD31:BD37" si="173">PRODUCT(AY31:BC31)</f>
        <v>0</v>
      </c>
      <c r="BE31" s="37">
        <f t="shared" ref="BE31:BE37" si="174">BD31/$B$19</f>
        <v>0</v>
      </c>
      <c r="BF31" s="38">
        <f t="shared" ref="BF31:BF37" si="175">BE31*$A$22</f>
        <v>0</v>
      </c>
      <c r="BG31" s="38">
        <f>BF31*$C$32</f>
        <v>0</v>
      </c>
      <c r="BH31" s="38">
        <f t="shared" ref="BH31:BH37" si="176">BG31/$B$22</f>
        <v>0</v>
      </c>
      <c r="BI31" s="36">
        <v>0</v>
      </c>
      <c r="BJ31" s="36">
        <f t="shared" ref="BJ31:BJ37" si="177">BH31-BI31</f>
        <v>0</v>
      </c>
      <c r="BK31" s="36">
        <v>0</v>
      </c>
    </row>
    <row r="32" spans="1:63">
      <c r="A32" t="s">
        <v>11</v>
      </c>
      <c r="B32" s="2">
        <v>25</v>
      </c>
      <c r="C32" s="2">
        <v>5</v>
      </c>
      <c r="D32" s="2">
        <v>2</v>
      </c>
      <c r="H32" s="8" t="s">
        <v>29</v>
      </c>
      <c r="I32" s="8"/>
      <c r="J32" s="8"/>
      <c r="K32" s="8"/>
      <c r="L32" s="8"/>
      <c r="M32" s="8"/>
      <c r="N32" s="8"/>
      <c r="O32" s="8"/>
      <c r="P32" s="8"/>
      <c r="Q32" s="8"/>
      <c r="R32" s="9">
        <f>AD9</f>
        <v>8.2089148962450585E-3</v>
      </c>
      <c r="T32" s="30" t="s">
        <v>142</v>
      </c>
      <c r="U32" s="30">
        <f t="shared" si="144"/>
        <v>3</v>
      </c>
      <c r="V32" s="30">
        <f>$C$3+$C$5</f>
        <v>1</v>
      </c>
      <c r="W32" s="30">
        <f t="shared" ref="W32" si="178">$D$14</f>
        <v>3</v>
      </c>
      <c r="X32" s="30">
        <f>$E$3+$E$5</f>
        <v>32</v>
      </c>
      <c r="Y32" s="30">
        <f t="shared" ref="Y32:Y37" si="179">$F$18-$F$14-$F$3-$F$5</f>
        <v>44</v>
      </c>
      <c r="Z32" s="30">
        <f t="shared" si="148"/>
        <v>12672</v>
      </c>
      <c r="AA32" s="31">
        <f t="shared" si="149"/>
        <v>1.6304347826086958E-4</v>
      </c>
      <c r="AB32" s="32">
        <f t="shared" si="150"/>
        <v>1.6304347826086958E-4</v>
      </c>
      <c r="AC32" s="33">
        <f t="shared" ref="AC32:AC37" si="180">AB32*$C$26</f>
        <v>1.9565217391304349E-3</v>
      </c>
      <c r="AD32" s="33">
        <f t="shared" si="151"/>
        <v>1.9565217391304349E-4</v>
      </c>
      <c r="AE32" s="7">
        <v>3.9076320000000003E-3</v>
      </c>
      <c r="AF32" s="7">
        <f t="shared" si="34"/>
        <v>-3.7119798260869569E-3</v>
      </c>
      <c r="AG32" s="7">
        <f t="shared" si="13"/>
        <v>-18.972341333333333</v>
      </c>
      <c r="AI32" s="30" t="s">
        <v>193</v>
      </c>
      <c r="AJ32" s="30">
        <f t="shared" si="125"/>
        <v>4</v>
      </c>
      <c r="AK32" s="30">
        <f>$C$3+$C$8</f>
        <v>9</v>
      </c>
      <c r="AL32" s="30">
        <f t="shared" ref="AL32" si="181">$D$14</f>
        <v>3</v>
      </c>
      <c r="AM32" s="30">
        <f>$E$3+$E$8</f>
        <v>34</v>
      </c>
      <c r="AN32" s="30">
        <f t="shared" ref="AN32:AN37" si="182">$F$18-$F$3-$F$8-$F$14</f>
        <v>43</v>
      </c>
      <c r="AO32" s="30">
        <f t="shared" si="167"/>
        <v>157896</v>
      </c>
      <c r="AP32" s="31">
        <f t="shared" si="168"/>
        <v>2.031558794466403E-3</v>
      </c>
      <c r="AQ32" s="33">
        <f t="shared" si="169"/>
        <v>2.031558794466403E-3</v>
      </c>
      <c r="AR32" s="33">
        <f t="shared" ref="AR32:AR37" si="183">AQ32*$C$29</f>
        <v>1.422091156126482E-2</v>
      </c>
      <c r="AS32" s="33">
        <f t="shared" si="170"/>
        <v>1.4220911561264821E-3</v>
      </c>
      <c r="AT32" s="36">
        <v>2.8457897999999999E-2</v>
      </c>
      <c r="AU32" s="36">
        <f t="shared" si="171"/>
        <v>-2.7035806843873515E-2</v>
      </c>
      <c r="AV32" s="36">
        <f t="shared" si="172"/>
        <v>-19.011303689922482</v>
      </c>
      <c r="AX32" s="37" t="s">
        <v>245</v>
      </c>
      <c r="AY32" s="37">
        <f t="shared" si="134"/>
        <v>2</v>
      </c>
      <c r="AZ32" s="37">
        <f>$C$3+$C$11</f>
        <v>7</v>
      </c>
      <c r="BA32" s="37">
        <f t="shared" ref="BA32" si="184">$D$14</f>
        <v>3</v>
      </c>
      <c r="BB32" s="37">
        <f>$E$3+$E$11</f>
        <v>28</v>
      </c>
      <c r="BC32" s="37">
        <f t="shared" ref="BC32:BC37" si="185">$F$18-$F$3-$F$11-$F$14</f>
        <v>42</v>
      </c>
      <c r="BD32" s="37">
        <f t="shared" si="173"/>
        <v>49392</v>
      </c>
      <c r="BE32" s="37">
        <f t="shared" si="174"/>
        <v>6.3549901185770751E-4</v>
      </c>
      <c r="BF32" s="38">
        <f t="shared" si="175"/>
        <v>6.3549901185770751E-4</v>
      </c>
      <c r="BG32" s="38">
        <f t="shared" ref="BG32:BG37" si="186">BF32*$C$32</f>
        <v>3.1774950592885374E-3</v>
      </c>
      <c r="BH32" s="38">
        <f t="shared" si="176"/>
        <v>3.1774950592885375E-4</v>
      </c>
      <c r="BI32" s="36">
        <v>6.3688549999999997E-3</v>
      </c>
      <c r="BJ32" s="36">
        <f t="shared" si="177"/>
        <v>-6.0511054940711462E-3</v>
      </c>
      <c r="BK32" s="36">
        <f t="shared" ref="BK32:BK37" si="187">BJ32/BH32</f>
        <v>-19.043634627793974</v>
      </c>
    </row>
    <row r="33" spans="1:63">
      <c r="A33" t="s">
        <v>12</v>
      </c>
      <c r="B33" s="2">
        <v>25</v>
      </c>
      <c r="C33" s="2">
        <v>5</v>
      </c>
      <c r="D33" s="2">
        <v>2</v>
      </c>
      <c r="H33" t="s">
        <v>36</v>
      </c>
      <c r="R33" s="7">
        <f>AD17</f>
        <v>3.0918045948616604E-3</v>
      </c>
      <c r="T33" s="30" t="s">
        <v>143</v>
      </c>
      <c r="U33" s="30">
        <f>$B$3+$B$5</f>
        <v>3</v>
      </c>
      <c r="V33" s="30">
        <f>$C$3+$C$5</f>
        <v>1</v>
      </c>
      <c r="W33" s="30">
        <f>$D$3+$D$5</f>
        <v>4</v>
      </c>
      <c r="X33" s="30">
        <f>$E$14</f>
        <v>3</v>
      </c>
      <c r="Y33" s="30">
        <f t="shared" si="179"/>
        <v>44</v>
      </c>
      <c r="Z33" s="30">
        <f t="shared" si="148"/>
        <v>1584</v>
      </c>
      <c r="AA33" s="31">
        <f t="shared" si="149"/>
        <v>2.0380434782608697E-5</v>
      </c>
      <c r="AB33" s="32">
        <f t="shared" si="150"/>
        <v>2.0380434782608697E-5</v>
      </c>
      <c r="AC33" s="33">
        <f>AB33*$C$26</f>
        <v>2.4456521739130437E-4</v>
      </c>
      <c r="AD33" s="33">
        <f t="shared" si="151"/>
        <v>2.4456521739130436E-5</v>
      </c>
      <c r="AE33" s="7">
        <v>4.8489600000000001E-4</v>
      </c>
      <c r="AF33" s="7">
        <f t="shared" si="34"/>
        <v>-4.6043947826086959E-4</v>
      </c>
      <c r="AG33" s="7">
        <f t="shared" si="13"/>
        <v>-18.826858666666666</v>
      </c>
      <c r="AI33" s="30" t="s">
        <v>194</v>
      </c>
      <c r="AJ33" s="30">
        <f t="shared" si="125"/>
        <v>4</v>
      </c>
      <c r="AK33" s="30">
        <f>$C$3+$C$8</f>
        <v>9</v>
      </c>
      <c r="AL33" s="30">
        <f>$D$3+$D$8</f>
        <v>4</v>
      </c>
      <c r="AM33" s="30">
        <f>$E$14</f>
        <v>3</v>
      </c>
      <c r="AN33" s="30">
        <f t="shared" si="182"/>
        <v>43</v>
      </c>
      <c r="AO33" s="30">
        <f t="shared" si="167"/>
        <v>18576</v>
      </c>
      <c r="AP33" s="31">
        <f t="shared" si="168"/>
        <v>2.3900691699604742E-4</v>
      </c>
      <c r="AQ33" s="33">
        <f t="shared" si="169"/>
        <v>2.3900691699604742E-4</v>
      </c>
      <c r="AR33" s="33">
        <f t="shared" si="183"/>
        <v>1.673048418972332E-3</v>
      </c>
      <c r="AS33" s="33">
        <f t="shared" si="170"/>
        <v>1.673048418972332E-4</v>
      </c>
      <c r="AT33" s="36">
        <v>3.3559330000000002E-3</v>
      </c>
      <c r="AU33" s="36">
        <f t="shared" si="171"/>
        <v>-3.1886281581027668E-3</v>
      </c>
      <c r="AV33" s="36">
        <f t="shared" si="172"/>
        <v>-19.058791855297159</v>
      </c>
      <c r="AX33" s="37" t="s">
        <v>246</v>
      </c>
      <c r="AY33" s="37">
        <f t="shared" si="134"/>
        <v>2</v>
      </c>
      <c r="AZ33" s="37">
        <f>$C$3+$C$11</f>
        <v>7</v>
      </c>
      <c r="BA33" s="37">
        <f>$D$3+$D$11</f>
        <v>0</v>
      </c>
      <c r="BB33" s="37">
        <f>$E$14</f>
        <v>3</v>
      </c>
      <c r="BC33" s="37">
        <f t="shared" si="185"/>
        <v>42</v>
      </c>
      <c r="BD33" s="37">
        <f t="shared" si="173"/>
        <v>0</v>
      </c>
      <c r="BE33" s="37">
        <f t="shared" si="174"/>
        <v>0</v>
      </c>
      <c r="BF33" s="38">
        <f t="shared" si="175"/>
        <v>0</v>
      </c>
      <c r="BG33" s="38">
        <f t="shared" si="186"/>
        <v>0</v>
      </c>
      <c r="BH33" s="38">
        <f t="shared" si="176"/>
        <v>0</v>
      </c>
      <c r="BI33" s="36">
        <v>0</v>
      </c>
      <c r="BJ33" s="36">
        <f t="shared" si="177"/>
        <v>0</v>
      </c>
      <c r="BK33" s="36">
        <v>0</v>
      </c>
    </row>
    <row r="34" spans="1:63">
      <c r="A34" t="s">
        <v>20</v>
      </c>
      <c r="B34" s="2">
        <v>50</v>
      </c>
      <c r="C34" s="2">
        <v>5</v>
      </c>
      <c r="D34" s="2">
        <v>1</v>
      </c>
      <c r="H34" t="s">
        <v>37</v>
      </c>
      <c r="J34" s="7"/>
      <c r="R34" s="7">
        <f>AD21</f>
        <v>1.4822134387351777E-4</v>
      </c>
      <c r="T34" s="30" t="s">
        <v>144</v>
      </c>
      <c r="U34" s="30">
        <f t="shared" si="144"/>
        <v>3</v>
      </c>
      <c r="V34" s="30">
        <f>$C$14</f>
        <v>3</v>
      </c>
      <c r="W34" s="30">
        <f>$D$14</f>
        <v>3</v>
      </c>
      <c r="X34" s="30">
        <f>$E$3+$E$5</f>
        <v>32</v>
      </c>
      <c r="Y34" s="30">
        <f t="shared" si="179"/>
        <v>44</v>
      </c>
      <c r="Z34" s="30">
        <f t="shared" si="148"/>
        <v>38016</v>
      </c>
      <c r="AA34" s="31">
        <f t="shared" si="149"/>
        <v>4.8913043478260873E-4</v>
      </c>
      <c r="AB34" s="32">
        <f t="shared" si="150"/>
        <v>4.8913043478260873E-4</v>
      </c>
      <c r="AC34" s="33">
        <f t="shared" si="180"/>
        <v>5.8695652173913048E-3</v>
      </c>
      <c r="AD34" s="33">
        <f t="shared" si="151"/>
        <v>5.8695652173913044E-4</v>
      </c>
      <c r="AE34" s="7">
        <v>1.1748912E-2</v>
      </c>
      <c r="AF34" s="7">
        <f t="shared" si="34"/>
        <v>-1.116195547826087E-2</v>
      </c>
      <c r="AG34" s="7">
        <f t="shared" si="13"/>
        <v>-19.01666488888889</v>
      </c>
      <c r="AI34" s="30" t="s">
        <v>195</v>
      </c>
      <c r="AJ34" s="30">
        <f t="shared" si="125"/>
        <v>4</v>
      </c>
      <c r="AK34" s="30">
        <f>$C$14</f>
        <v>3</v>
      </c>
      <c r="AL34" s="30">
        <f>$D$14</f>
        <v>3</v>
      </c>
      <c r="AM34" s="30">
        <f>$E$3+$E$8</f>
        <v>34</v>
      </c>
      <c r="AN34" s="30">
        <f t="shared" si="182"/>
        <v>43</v>
      </c>
      <c r="AO34" s="30">
        <f t="shared" si="167"/>
        <v>52632</v>
      </c>
      <c r="AP34" s="31">
        <f t="shared" si="168"/>
        <v>6.7718626482213436E-4</v>
      </c>
      <c r="AQ34" s="33">
        <f t="shared" si="169"/>
        <v>6.7718626482213436E-4</v>
      </c>
      <c r="AR34" s="33">
        <f t="shared" si="183"/>
        <v>4.7403038537549404E-3</v>
      </c>
      <c r="AS34" s="33">
        <f t="shared" si="170"/>
        <v>4.7403038537549406E-4</v>
      </c>
      <c r="AT34" s="36">
        <v>9.4777899999999998E-3</v>
      </c>
      <c r="AU34" s="36">
        <f t="shared" si="171"/>
        <v>-9.0037596146245059E-3</v>
      </c>
      <c r="AV34" s="36">
        <f t="shared" si="172"/>
        <v>-18.994055850433195</v>
      </c>
      <c r="AX34" s="37" t="s">
        <v>247</v>
      </c>
      <c r="AY34" s="37">
        <f t="shared" si="134"/>
        <v>2</v>
      </c>
      <c r="AZ34" s="37">
        <f>$C$14</f>
        <v>3</v>
      </c>
      <c r="BA34" s="37">
        <f>$D$14</f>
        <v>3</v>
      </c>
      <c r="BB34" s="37">
        <f>$E$3+$E$11</f>
        <v>28</v>
      </c>
      <c r="BC34" s="37">
        <f t="shared" si="185"/>
        <v>42</v>
      </c>
      <c r="BD34" s="37">
        <f t="shared" si="173"/>
        <v>21168</v>
      </c>
      <c r="BE34" s="37">
        <f t="shared" si="174"/>
        <v>2.7235671936758895E-4</v>
      </c>
      <c r="BF34" s="38">
        <f t="shared" si="175"/>
        <v>2.7235671936758895E-4</v>
      </c>
      <c r="BG34" s="38">
        <f t="shared" si="186"/>
        <v>1.3617835968379448E-3</v>
      </c>
      <c r="BH34" s="38">
        <f t="shared" si="176"/>
        <v>1.3617835968379448E-4</v>
      </c>
      <c r="BI34" s="36">
        <v>2.728585E-3</v>
      </c>
      <c r="BJ34" s="36">
        <f t="shared" si="177"/>
        <v>-2.5924066403162057E-3</v>
      </c>
      <c r="BK34" s="36">
        <f t="shared" si="187"/>
        <v>-19.036847310657596</v>
      </c>
    </row>
    <row r="35" spans="1:63">
      <c r="H35" s="8" t="s">
        <v>38</v>
      </c>
      <c r="I35" s="8"/>
      <c r="J35" s="8"/>
      <c r="K35" s="8"/>
      <c r="L35" s="8"/>
      <c r="M35" s="8"/>
      <c r="N35" s="8"/>
      <c r="O35" s="8"/>
      <c r="P35" s="8"/>
      <c r="Q35" s="8"/>
      <c r="R35" s="9">
        <f>AD30</f>
        <v>2.2418478260869557E-3</v>
      </c>
      <c r="T35" s="30" t="s">
        <v>145</v>
      </c>
      <c r="U35" s="30">
        <f t="shared" si="144"/>
        <v>3</v>
      </c>
      <c r="V35" s="30">
        <f>$C$14</f>
        <v>3</v>
      </c>
      <c r="W35" s="30">
        <f>$D$3+$D$5</f>
        <v>4</v>
      </c>
      <c r="X35" s="30">
        <f>$E$14</f>
        <v>3</v>
      </c>
      <c r="Y35" s="30">
        <f t="shared" si="179"/>
        <v>44</v>
      </c>
      <c r="Z35" s="30">
        <f t="shared" si="148"/>
        <v>4752</v>
      </c>
      <c r="AA35" s="31">
        <f t="shared" si="149"/>
        <v>6.1141304347826092E-5</v>
      </c>
      <c r="AB35" s="32">
        <f t="shared" si="150"/>
        <v>6.1141304347826092E-5</v>
      </c>
      <c r="AC35" s="33">
        <f t="shared" si="180"/>
        <v>7.336956521739131E-4</v>
      </c>
      <c r="AD35" s="33">
        <f t="shared" si="151"/>
        <v>7.3369565217391305E-5</v>
      </c>
      <c r="AE35" s="7">
        <v>1.4572680000000001E-3</v>
      </c>
      <c r="AF35" s="7">
        <f t="shared" si="34"/>
        <v>-1.3838984347826087E-3</v>
      </c>
      <c r="AG35" s="7">
        <f t="shared" si="13"/>
        <v>-18.86202311111111</v>
      </c>
      <c r="AI35" s="30" t="s">
        <v>196</v>
      </c>
      <c r="AJ35" s="30">
        <f t="shared" si="125"/>
        <v>4</v>
      </c>
      <c r="AK35" s="30">
        <f>$C$14</f>
        <v>3</v>
      </c>
      <c r="AL35" s="30">
        <f>$D$3+$D$8</f>
        <v>4</v>
      </c>
      <c r="AM35" s="30">
        <f>$E$14</f>
        <v>3</v>
      </c>
      <c r="AN35" s="30">
        <f t="shared" si="182"/>
        <v>43</v>
      </c>
      <c r="AO35" s="30">
        <f t="shared" si="167"/>
        <v>6192</v>
      </c>
      <c r="AP35" s="31">
        <f t="shared" si="168"/>
        <v>7.9668972332015817E-5</v>
      </c>
      <c r="AQ35" s="33">
        <f t="shared" si="169"/>
        <v>7.9668972332015817E-5</v>
      </c>
      <c r="AR35" s="33">
        <f t="shared" si="183"/>
        <v>5.5768280632411066E-4</v>
      </c>
      <c r="AS35" s="33">
        <f t="shared" si="170"/>
        <v>5.5768280632411066E-5</v>
      </c>
      <c r="AT35" s="36">
        <v>1.117956E-3</v>
      </c>
      <c r="AU35" s="36">
        <f t="shared" si="171"/>
        <v>-1.062187719367589E-3</v>
      </c>
      <c r="AV35" s="36">
        <f t="shared" si="172"/>
        <v>-19.046449116279071</v>
      </c>
      <c r="AX35" s="37" t="s">
        <v>248</v>
      </c>
      <c r="AY35" s="37">
        <f t="shared" si="134"/>
        <v>2</v>
      </c>
      <c r="AZ35" s="37">
        <f>$C$14</f>
        <v>3</v>
      </c>
      <c r="BA35" s="37">
        <f>$D$3+$D$11</f>
        <v>0</v>
      </c>
      <c r="BB35" s="37">
        <f>$E$14</f>
        <v>3</v>
      </c>
      <c r="BC35" s="37">
        <f t="shared" si="185"/>
        <v>42</v>
      </c>
      <c r="BD35" s="37">
        <f t="shared" si="173"/>
        <v>0</v>
      </c>
      <c r="BE35" s="37">
        <f t="shared" si="174"/>
        <v>0</v>
      </c>
      <c r="BF35" s="38">
        <f t="shared" si="175"/>
        <v>0</v>
      </c>
      <c r="BG35" s="38">
        <f t="shared" si="186"/>
        <v>0</v>
      </c>
      <c r="BH35" s="38">
        <f t="shared" si="176"/>
        <v>0</v>
      </c>
      <c r="BI35" s="36">
        <v>0</v>
      </c>
      <c r="BJ35" s="36">
        <f t="shared" si="177"/>
        <v>0</v>
      </c>
      <c r="BK35" s="36">
        <v>0</v>
      </c>
    </row>
    <row r="36" spans="1:63">
      <c r="H36" t="s">
        <v>39</v>
      </c>
      <c r="R36" s="7">
        <f>AD38</f>
        <v>1.7364130434782609E-3</v>
      </c>
      <c r="T36" s="30" t="s">
        <v>146</v>
      </c>
      <c r="U36" s="30">
        <f t="shared" si="144"/>
        <v>3</v>
      </c>
      <c r="V36" s="30">
        <f>$C$3+$C$5</f>
        <v>1</v>
      </c>
      <c r="W36" s="30">
        <f>$D$14</f>
        <v>3</v>
      </c>
      <c r="X36" s="30">
        <f>$E$14</f>
        <v>3</v>
      </c>
      <c r="Y36" s="30">
        <f t="shared" si="179"/>
        <v>44</v>
      </c>
      <c r="Z36" s="30">
        <f t="shared" si="148"/>
        <v>1188</v>
      </c>
      <c r="AA36" s="31">
        <f t="shared" si="149"/>
        <v>1.5285326086956523E-5</v>
      </c>
      <c r="AB36" s="32">
        <f t="shared" si="150"/>
        <v>1.5285326086956523E-5</v>
      </c>
      <c r="AC36" s="33">
        <f t="shared" si="180"/>
        <v>1.8342391304347828E-4</v>
      </c>
      <c r="AD36" s="33">
        <f t="shared" si="151"/>
        <v>1.8342391304347826E-5</v>
      </c>
      <c r="AE36" s="7">
        <v>3.6551999999999998E-4</v>
      </c>
      <c r="AF36" s="7">
        <f t="shared" si="34"/>
        <v>-3.4717760869565215E-4</v>
      </c>
      <c r="AG36" s="7">
        <f t="shared" si="13"/>
        <v>-18.927608888888887</v>
      </c>
      <c r="AI36" s="30" t="s">
        <v>197</v>
      </c>
      <c r="AJ36" s="30">
        <f t="shared" si="125"/>
        <v>4</v>
      </c>
      <c r="AK36" s="30">
        <f>$C$3+$C$8</f>
        <v>9</v>
      </c>
      <c r="AL36" s="30">
        <f>$D$14</f>
        <v>3</v>
      </c>
      <c r="AM36" s="30">
        <f>$E$14</f>
        <v>3</v>
      </c>
      <c r="AN36" s="30">
        <f t="shared" si="182"/>
        <v>43</v>
      </c>
      <c r="AO36" s="30">
        <f t="shared" si="167"/>
        <v>13932</v>
      </c>
      <c r="AP36" s="31">
        <f t="shared" si="168"/>
        <v>1.7925518774703557E-4</v>
      </c>
      <c r="AQ36" s="33">
        <f t="shared" si="169"/>
        <v>1.7925518774703557E-4</v>
      </c>
      <c r="AR36" s="33">
        <f t="shared" si="183"/>
        <v>1.2547863142292491E-3</v>
      </c>
      <c r="AS36" s="33">
        <f t="shared" si="170"/>
        <v>1.254786314229249E-4</v>
      </c>
      <c r="AT36" s="36">
        <v>2.5114249999999999E-3</v>
      </c>
      <c r="AU36" s="36">
        <f t="shared" si="171"/>
        <v>-2.385946368577075E-3</v>
      </c>
      <c r="AV36" s="36">
        <f t="shared" si="172"/>
        <v>-19.014762446167097</v>
      </c>
      <c r="AX36" s="37" t="s">
        <v>249</v>
      </c>
      <c r="AY36" s="37">
        <f t="shared" si="134"/>
        <v>2</v>
      </c>
      <c r="AZ36" s="37">
        <f>$C$3+$C$11</f>
        <v>7</v>
      </c>
      <c r="BA36" s="37">
        <f>$D$14</f>
        <v>3</v>
      </c>
      <c r="BB36" s="37">
        <f>$E$14</f>
        <v>3</v>
      </c>
      <c r="BC36" s="37">
        <f t="shared" si="185"/>
        <v>42</v>
      </c>
      <c r="BD36" s="37">
        <f t="shared" si="173"/>
        <v>5292</v>
      </c>
      <c r="BE36" s="37">
        <f t="shared" si="174"/>
        <v>6.8089179841897239E-5</v>
      </c>
      <c r="BF36" s="38">
        <f t="shared" si="175"/>
        <v>6.8089179841897239E-5</v>
      </c>
      <c r="BG36" s="38">
        <f t="shared" si="186"/>
        <v>3.4044589920948621E-4</v>
      </c>
      <c r="BH36" s="38">
        <f t="shared" si="176"/>
        <v>3.4044589920948619E-5</v>
      </c>
      <c r="BI36" s="36">
        <v>6.8075000000000004E-4</v>
      </c>
      <c r="BJ36" s="36">
        <f t="shared" si="177"/>
        <v>-6.4670541007905147E-4</v>
      </c>
      <c r="BK36" s="36">
        <f t="shared" si="187"/>
        <v>-18.995834920634923</v>
      </c>
    </row>
    <row r="37" spans="1:63">
      <c r="A37" s="3" t="s">
        <v>89</v>
      </c>
      <c r="B37" s="3"/>
      <c r="H37" t="s">
        <v>40</v>
      </c>
      <c r="R37" s="7">
        <f>AD42</f>
        <v>1.7786561264822136E-4</v>
      </c>
      <c r="T37" s="30" t="s">
        <v>147</v>
      </c>
      <c r="U37" s="30">
        <f t="shared" si="144"/>
        <v>3</v>
      </c>
      <c r="V37" s="30">
        <f>$C$14</f>
        <v>3</v>
      </c>
      <c r="W37" s="30">
        <f>$D$14</f>
        <v>3</v>
      </c>
      <c r="X37" s="30">
        <f>$E$14</f>
        <v>3</v>
      </c>
      <c r="Y37" s="30">
        <f t="shared" si="179"/>
        <v>44</v>
      </c>
      <c r="Z37" s="30">
        <f t="shared" si="148"/>
        <v>3564</v>
      </c>
      <c r="AA37" s="31">
        <f t="shared" si="149"/>
        <v>4.5855978260869562E-5</v>
      </c>
      <c r="AB37" s="32">
        <f t="shared" si="150"/>
        <v>4.5855978260869562E-5</v>
      </c>
      <c r="AC37" s="33">
        <f t="shared" si="180"/>
        <v>5.5027173913043477E-4</v>
      </c>
      <c r="AD37" s="33">
        <f t="shared" si="151"/>
        <v>5.5027173913043479E-5</v>
      </c>
      <c r="AE37" s="7">
        <v>1.106664E-3</v>
      </c>
      <c r="AF37" s="7">
        <f t="shared" si="34"/>
        <v>-1.0516368260869565E-3</v>
      </c>
      <c r="AG37" s="7">
        <f t="shared" si="13"/>
        <v>-19.111227259259259</v>
      </c>
      <c r="AI37" s="30" t="s">
        <v>198</v>
      </c>
      <c r="AJ37" s="30">
        <f t="shared" si="125"/>
        <v>4</v>
      </c>
      <c r="AK37" s="30">
        <f>$C$14</f>
        <v>3</v>
      </c>
      <c r="AL37" s="30">
        <f>$D$14</f>
        <v>3</v>
      </c>
      <c r="AM37" s="30">
        <f>$E$14</f>
        <v>3</v>
      </c>
      <c r="AN37" s="30">
        <f t="shared" si="182"/>
        <v>43</v>
      </c>
      <c r="AO37" s="30">
        <f t="shared" si="167"/>
        <v>4644</v>
      </c>
      <c r="AP37" s="31">
        <f t="shared" si="168"/>
        <v>5.9751729249011856E-5</v>
      </c>
      <c r="AQ37" s="33">
        <f t="shared" si="169"/>
        <v>5.9751729249011856E-5</v>
      </c>
      <c r="AR37" s="33">
        <f t="shared" si="183"/>
        <v>4.18262104743083E-4</v>
      </c>
      <c r="AS37" s="33">
        <f t="shared" si="170"/>
        <v>4.18262104743083E-5</v>
      </c>
      <c r="AT37" s="36">
        <v>8.4007699999999995E-4</v>
      </c>
      <c r="AU37" s="36">
        <f t="shared" si="171"/>
        <v>-7.982507895256917E-4</v>
      </c>
      <c r="AV37" s="36">
        <f t="shared" si="172"/>
        <v>-19.08494172609819</v>
      </c>
      <c r="AX37" s="37" t="s">
        <v>250</v>
      </c>
      <c r="AY37" s="37">
        <f t="shared" si="134"/>
        <v>2</v>
      </c>
      <c r="AZ37" s="37">
        <f>$C$14</f>
        <v>3</v>
      </c>
      <c r="BA37" s="37">
        <f>$D$14</f>
        <v>3</v>
      </c>
      <c r="BB37" s="37">
        <f>$E$14</f>
        <v>3</v>
      </c>
      <c r="BC37" s="37">
        <f t="shared" si="185"/>
        <v>42</v>
      </c>
      <c r="BD37" s="37">
        <f t="shared" si="173"/>
        <v>2268</v>
      </c>
      <c r="BE37" s="37">
        <f t="shared" si="174"/>
        <v>2.9181077075098813E-5</v>
      </c>
      <c r="BF37" s="38">
        <f t="shared" si="175"/>
        <v>2.9181077075098813E-5</v>
      </c>
      <c r="BG37" s="38">
        <f t="shared" si="186"/>
        <v>1.4590538537549407E-4</v>
      </c>
      <c r="BH37" s="38">
        <f t="shared" si="176"/>
        <v>1.4590538537549407E-5</v>
      </c>
      <c r="BI37" s="36">
        <v>2.9400999999999999E-4</v>
      </c>
      <c r="BJ37" s="36">
        <f t="shared" si="177"/>
        <v>-2.794194614624506E-4</v>
      </c>
      <c r="BK37" s="36">
        <f t="shared" si="187"/>
        <v>-19.15072982010582</v>
      </c>
    </row>
    <row r="38" spans="1:63">
      <c r="A38" s="3" t="s">
        <v>90</v>
      </c>
      <c r="B38" s="3" t="s">
        <v>23</v>
      </c>
      <c r="H38" s="8" t="s">
        <v>41</v>
      </c>
      <c r="I38" s="34"/>
      <c r="J38" s="8"/>
      <c r="K38" s="8"/>
      <c r="L38" s="8"/>
      <c r="M38" s="8"/>
      <c r="N38" s="8"/>
      <c r="O38" s="8"/>
      <c r="P38" s="8"/>
      <c r="Q38" s="8"/>
      <c r="R38" s="9">
        <f>AD51</f>
        <v>2.2789031620553363E-3</v>
      </c>
      <c r="AA38" s="15"/>
      <c r="AB38" s="10"/>
      <c r="AC38" s="7"/>
      <c r="AD38" s="7">
        <f>SUM(AD31:AD37)</f>
        <v>1.7364130434782609E-3</v>
      </c>
      <c r="AE38" s="7">
        <f t="shared" ref="AE38:AG38" si="188">SUM(AE31:AE37)</f>
        <v>3.4734132000000001E-2</v>
      </c>
      <c r="AF38" s="7">
        <f t="shared" si="188"/>
        <v>-3.2997718956521739E-2</v>
      </c>
      <c r="AG38" s="7">
        <f t="shared" si="188"/>
        <v>-132.73086414814813</v>
      </c>
      <c r="AP38" s="15"/>
      <c r="AQ38" s="7"/>
      <c r="AR38" s="7"/>
      <c r="AS38" s="7">
        <f>SUM(AS31:AS37)</f>
        <v>2.9185400197628453E-3</v>
      </c>
      <c r="AT38" s="36">
        <f t="shared" ref="AT38:AV38" si="189">SUM(AT31:AT37)</f>
        <v>5.8417932999999998E-2</v>
      </c>
      <c r="AU38" s="36">
        <f t="shared" si="189"/>
        <v>-5.549939298023715E-2</v>
      </c>
      <c r="AV38" s="36">
        <f t="shared" si="189"/>
        <v>-133.23568869514111</v>
      </c>
      <c r="BF38" s="7"/>
      <c r="BG38" s="7"/>
      <c r="BH38" s="7">
        <f>SUM(BH31:BH37)</f>
        <v>5.0256299407114627E-4</v>
      </c>
      <c r="BI38" s="7">
        <f t="shared" ref="BI38:BK38" si="190">SUM(BI31:BI37)</f>
        <v>1.0072200000000002E-2</v>
      </c>
      <c r="BJ38" s="7">
        <f t="shared" si="190"/>
        <v>-9.5696370059288535E-3</v>
      </c>
      <c r="BK38" s="7">
        <f t="shared" si="190"/>
        <v>-76.227046679192313</v>
      </c>
    </row>
    <row r="39" spans="1:63">
      <c r="A39" t="s">
        <v>91</v>
      </c>
      <c r="B39">
        <v>1250</v>
      </c>
      <c r="H39" t="s">
        <v>42</v>
      </c>
      <c r="R39" s="7">
        <f>AD59</f>
        <v>7.2369071146245062E-4</v>
      </c>
      <c r="T39" s="30" t="s">
        <v>148</v>
      </c>
      <c r="U39" s="30">
        <f t="shared" si="144"/>
        <v>3</v>
      </c>
      <c r="V39" s="30">
        <f>$C$14</f>
        <v>3</v>
      </c>
      <c r="W39" s="30">
        <f>$D$3+$D$5</f>
        <v>4</v>
      </c>
      <c r="X39" s="30">
        <f>$E$18-$E$3-$E$5-$E$14</f>
        <v>20</v>
      </c>
      <c r="Y39" s="30">
        <f>$F$18</f>
        <v>48</v>
      </c>
      <c r="Z39" s="30">
        <f t="shared" si="148"/>
        <v>34560</v>
      </c>
      <c r="AA39" s="31">
        <f t="shared" si="149"/>
        <v>4.4466403162055334E-4</v>
      </c>
      <c r="AB39" s="32">
        <f t="shared" si="150"/>
        <v>4.4466403162055334E-4</v>
      </c>
      <c r="AC39" s="33">
        <f>AB39*$D$26</f>
        <v>8.8932806324110668E-4</v>
      </c>
      <c r="AD39" s="33">
        <f t="shared" si="151"/>
        <v>8.8932806324110665E-5</v>
      </c>
      <c r="AE39" s="7">
        <v>1.77568E-3</v>
      </c>
      <c r="AF39" s="7">
        <f t="shared" si="34"/>
        <v>-1.6867471936758893E-3</v>
      </c>
      <c r="AG39" s="7">
        <f t="shared" si="13"/>
        <v>-18.966535111111114</v>
      </c>
      <c r="AI39" s="30" t="s">
        <v>199</v>
      </c>
      <c r="AJ39" s="30">
        <f t="shared" si="125"/>
        <v>4</v>
      </c>
      <c r="AK39" s="30">
        <f>$C$14</f>
        <v>3</v>
      </c>
      <c r="AL39" s="30">
        <f>$D$3+$D$8</f>
        <v>4</v>
      </c>
      <c r="AM39" s="30">
        <f>$E$18-$E$3-$E$8-$E$14</f>
        <v>18</v>
      </c>
      <c r="AN39" s="30">
        <f>$F$18</f>
        <v>48</v>
      </c>
      <c r="AO39" s="30">
        <f t="shared" ref="AO39:AO41" si="191">PRODUCT(AJ39:AN39)</f>
        <v>41472</v>
      </c>
      <c r="AP39" s="31">
        <f t="shared" ref="AP39:AP41" si="192">AO39/$B$19</f>
        <v>5.3359683794466407E-4</v>
      </c>
      <c r="AQ39" s="33">
        <f t="shared" ref="AQ39:AQ41" si="193">AP39*$A$22</f>
        <v>5.3359683794466407E-4</v>
      </c>
      <c r="AR39" s="33">
        <f>AQ39*$D$29</f>
        <v>1.0671936758893281E-3</v>
      </c>
      <c r="AS39" s="33">
        <f t="shared" ref="AS39:AS41" si="194">AR39/$B$22</f>
        <v>1.0671936758893281E-4</v>
      </c>
      <c r="AT39" s="36">
        <v>2.1317879999999999E-3</v>
      </c>
      <c r="AU39" s="36">
        <f t="shared" ref="AU39:AU41" si="195">AS39-AT39</f>
        <v>-2.0250686324110672E-3</v>
      </c>
      <c r="AV39" s="36">
        <f t="shared" ref="AV39:AV41" si="196">AU39/AS39</f>
        <v>-18.975643111111111</v>
      </c>
      <c r="AX39" s="30" t="s">
        <v>251</v>
      </c>
      <c r="AY39" s="30">
        <f t="shared" si="134"/>
        <v>2</v>
      </c>
      <c r="AZ39" s="30">
        <f>$C$14</f>
        <v>3</v>
      </c>
      <c r="BA39" s="30">
        <f>$D$3+$D$11</f>
        <v>0</v>
      </c>
      <c r="BB39" s="30">
        <f>$E$18-$E$3-$E$11-$E$14</f>
        <v>24</v>
      </c>
      <c r="BC39" s="30">
        <f>$F$18</f>
        <v>48</v>
      </c>
      <c r="BD39" s="30">
        <f t="shared" ref="BD39:BD41" si="197">PRODUCT(AY39:BC39)</f>
        <v>0</v>
      </c>
      <c r="BE39" s="30">
        <f t="shared" ref="BE39:BE41" si="198">BD39/$B$19</f>
        <v>0</v>
      </c>
      <c r="BF39" s="33">
        <f t="shared" ref="BF39:BF41" si="199">BE39*$A$22</f>
        <v>0</v>
      </c>
      <c r="BG39" s="33">
        <f>BF39*$D$32</f>
        <v>0</v>
      </c>
      <c r="BH39" s="33">
        <f t="shared" ref="BH39:BH41" si="200">BG39/$B$22</f>
        <v>0</v>
      </c>
      <c r="BI39" s="36">
        <v>0</v>
      </c>
      <c r="BJ39" s="36">
        <f t="shared" ref="BJ39:BJ41" si="201">BH39-BI39</f>
        <v>0</v>
      </c>
      <c r="BK39" s="36">
        <v>0</v>
      </c>
    </row>
    <row r="40" spans="1:63">
      <c r="A40" t="s">
        <v>92</v>
      </c>
      <c r="B40">
        <v>125</v>
      </c>
      <c r="H40" t="s">
        <v>43</v>
      </c>
      <c r="R40" s="7">
        <f>AD63</f>
        <v>1.0671936758893281E-4</v>
      </c>
      <c r="T40" s="30" t="s">
        <v>149</v>
      </c>
      <c r="U40" s="30">
        <f>$B$3+$B$5</f>
        <v>3</v>
      </c>
      <c r="V40" s="30">
        <f>$C$3+$C$5</f>
        <v>1</v>
      </c>
      <c r="W40" s="30">
        <f t="shared" ref="W40" si="202">$D$14</f>
        <v>3</v>
      </c>
      <c r="X40" s="30">
        <f t="shared" ref="X40:X41" si="203">$E$18-$E$3-$E$5-$E$14</f>
        <v>20</v>
      </c>
      <c r="Y40" s="30">
        <f t="shared" ref="Y40:Y41" si="204">$F$18</f>
        <v>48</v>
      </c>
      <c r="Z40" s="30">
        <f t="shared" si="148"/>
        <v>8640</v>
      </c>
      <c r="AA40" s="31">
        <f t="shared" si="149"/>
        <v>1.1116600790513834E-4</v>
      </c>
      <c r="AB40" s="32">
        <f t="shared" si="150"/>
        <v>1.1116600790513834E-4</v>
      </c>
      <c r="AC40" s="33">
        <f t="shared" ref="AC40:AC41" si="205">AB40*$D$26</f>
        <v>2.2233201581027667E-4</v>
      </c>
      <c r="AD40" s="33">
        <f t="shared" si="151"/>
        <v>2.2233201581027666E-5</v>
      </c>
      <c r="AE40" s="7">
        <v>4.4493000000000001E-4</v>
      </c>
      <c r="AF40" s="7">
        <f t="shared" si="34"/>
        <v>-4.2269679841897234E-4</v>
      </c>
      <c r="AG40" s="7">
        <f t="shared" si="13"/>
        <v>-19.011962666666669</v>
      </c>
      <c r="AI40" s="30" t="s">
        <v>200</v>
      </c>
      <c r="AJ40" s="30">
        <f t="shared" si="125"/>
        <v>4</v>
      </c>
      <c r="AK40" s="30">
        <f>$C$3+$C$8</f>
        <v>9</v>
      </c>
      <c r="AL40" s="30">
        <f t="shared" ref="AL40" si="206">$D$14</f>
        <v>3</v>
      </c>
      <c r="AM40" s="30">
        <f t="shared" ref="AM40:AM41" si="207">$E$18-$E$3-$E$8-$E$14</f>
        <v>18</v>
      </c>
      <c r="AN40" s="30">
        <f t="shared" ref="AN40:AN41" si="208">$F$18</f>
        <v>48</v>
      </c>
      <c r="AO40" s="30">
        <f t="shared" si="191"/>
        <v>93312</v>
      </c>
      <c r="AP40" s="31">
        <f t="shared" si="192"/>
        <v>1.2005928853754942E-3</v>
      </c>
      <c r="AQ40" s="33">
        <f t="shared" si="193"/>
        <v>1.2005928853754942E-3</v>
      </c>
      <c r="AR40" s="33">
        <f t="shared" ref="AR40:AR41" si="209">AQ40*$D$29</f>
        <v>2.4011857707509883E-3</v>
      </c>
      <c r="AS40" s="33">
        <f t="shared" si="194"/>
        <v>2.4011857707509883E-4</v>
      </c>
      <c r="AT40" s="36">
        <v>4.7969520000000002E-3</v>
      </c>
      <c r="AU40" s="36">
        <f t="shared" si="195"/>
        <v>-4.5568334229249014E-3</v>
      </c>
      <c r="AV40" s="36">
        <f t="shared" si="196"/>
        <v>-18.977429728395062</v>
      </c>
      <c r="AX40" s="30" t="s">
        <v>252</v>
      </c>
      <c r="AY40" s="30">
        <f t="shared" si="134"/>
        <v>2</v>
      </c>
      <c r="AZ40" s="30">
        <f>$C$3+$C$11</f>
        <v>7</v>
      </c>
      <c r="BA40" s="30">
        <f t="shared" ref="BA40" si="210">$D$14</f>
        <v>3</v>
      </c>
      <c r="BB40" s="30">
        <f t="shared" ref="BB40:BB41" si="211">$E$18-$E$3-$E$11-$E$14</f>
        <v>24</v>
      </c>
      <c r="BC40" s="30">
        <f t="shared" ref="BC40:BC41" si="212">$F$18</f>
        <v>48</v>
      </c>
      <c r="BD40" s="30">
        <f t="shared" si="197"/>
        <v>48384</v>
      </c>
      <c r="BE40" s="30">
        <f t="shared" si="198"/>
        <v>6.2252964426877475E-4</v>
      </c>
      <c r="BF40" s="33">
        <f t="shared" si="199"/>
        <v>6.2252964426877475E-4</v>
      </c>
      <c r="BG40" s="33">
        <f t="shared" ref="BG40:BG41" si="213">BF40*$D$32</f>
        <v>1.2450592885375495E-3</v>
      </c>
      <c r="BH40" s="33">
        <f t="shared" si="200"/>
        <v>1.2450592885375494E-4</v>
      </c>
      <c r="BI40" s="36">
        <v>2.4862980000000001E-3</v>
      </c>
      <c r="BJ40" s="36">
        <f t="shared" si="201"/>
        <v>-2.3617920711462453E-3</v>
      </c>
      <c r="BK40" s="36">
        <f t="shared" ref="BK40:BK41" si="214">BJ40/BH40</f>
        <v>-18.969314095238097</v>
      </c>
    </row>
    <row r="41" spans="1:63">
      <c r="A41" t="s">
        <v>93</v>
      </c>
      <c r="B41">
        <v>25</v>
      </c>
      <c r="H41" s="8" t="s">
        <v>44</v>
      </c>
      <c r="I41" s="8"/>
      <c r="J41" s="8"/>
      <c r="K41" s="8"/>
      <c r="L41" s="8"/>
      <c r="M41" s="8"/>
      <c r="N41" s="8"/>
      <c r="O41" s="8"/>
      <c r="P41" s="35"/>
      <c r="Q41" s="8"/>
      <c r="R41" s="9">
        <f>AS9</f>
        <v>1.5391860177865611E-2</v>
      </c>
      <c r="T41" s="30" t="s">
        <v>150</v>
      </c>
      <c r="U41" s="30">
        <f t="shared" si="144"/>
        <v>3</v>
      </c>
      <c r="V41" s="30">
        <f>$C$14</f>
        <v>3</v>
      </c>
      <c r="W41" s="30">
        <f>$D$14</f>
        <v>3</v>
      </c>
      <c r="X41" s="30">
        <f t="shared" si="203"/>
        <v>20</v>
      </c>
      <c r="Y41" s="30">
        <f t="shared" si="204"/>
        <v>48</v>
      </c>
      <c r="Z41" s="30">
        <f t="shared" si="148"/>
        <v>25920</v>
      </c>
      <c r="AA41" s="31">
        <f t="shared" si="149"/>
        <v>3.3349802371541505E-4</v>
      </c>
      <c r="AB41" s="32">
        <f t="shared" si="150"/>
        <v>3.3349802371541505E-4</v>
      </c>
      <c r="AC41" s="33">
        <f t="shared" si="205"/>
        <v>6.6699604743083009E-4</v>
      </c>
      <c r="AD41" s="33">
        <f t="shared" si="151"/>
        <v>6.6699604743083009E-5</v>
      </c>
      <c r="AE41" s="7">
        <v>1.3344979999999999E-3</v>
      </c>
      <c r="AF41" s="7">
        <f t="shared" si="34"/>
        <v>-1.2677983952569169E-3</v>
      </c>
      <c r="AG41" s="7">
        <f t="shared" si="13"/>
        <v>-19.007584829629629</v>
      </c>
      <c r="AI41" s="30" t="s">
        <v>201</v>
      </c>
      <c r="AJ41" s="30">
        <f t="shared" si="125"/>
        <v>4</v>
      </c>
      <c r="AK41" s="30">
        <f>$C$14</f>
        <v>3</v>
      </c>
      <c r="AL41" s="30">
        <f>$D$14</f>
        <v>3</v>
      </c>
      <c r="AM41" s="30">
        <f t="shared" si="207"/>
        <v>18</v>
      </c>
      <c r="AN41" s="30">
        <f t="shared" si="208"/>
        <v>48</v>
      </c>
      <c r="AO41" s="30">
        <f t="shared" si="191"/>
        <v>31104</v>
      </c>
      <c r="AP41" s="31">
        <f t="shared" si="192"/>
        <v>4.00197628458498E-4</v>
      </c>
      <c r="AQ41" s="33">
        <f t="shared" si="193"/>
        <v>4.00197628458498E-4</v>
      </c>
      <c r="AR41" s="33">
        <f t="shared" si="209"/>
        <v>8.00395256916996E-4</v>
      </c>
      <c r="AS41" s="33">
        <f t="shared" si="194"/>
        <v>8.00395256916996E-5</v>
      </c>
      <c r="AT41" s="36">
        <v>1.603574E-3</v>
      </c>
      <c r="AU41" s="36">
        <f t="shared" si="195"/>
        <v>-1.5235344743083003E-3</v>
      </c>
      <c r="AV41" s="36">
        <f t="shared" si="196"/>
        <v>-19.03477639506173</v>
      </c>
      <c r="AX41" s="30" t="s">
        <v>253</v>
      </c>
      <c r="AY41" s="30">
        <f t="shared" si="134"/>
        <v>2</v>
      </c>
      <c r="AZ41" s="30">
        <f>$C$14</f>
        <v>3</v>
      </c>
      <c r="BA41" s="30">
        <f>$D$14</f>
        <v>3</v>
      </c>
      <c r="BB41" s="30">
        <f t="shared" si="211"/>
        <v>24</v>
      </c>
      <c r="BC41" s="30">
        <f t="shared" si="212"/>
        <v>48</v>
      </c>
      <c r="BD41" s="30">
        <f t="shared" si="197"/>
        <v>20736</v>
      </c>
      <c r="BE41" s="30">
        <f t="shared" si="198"/>
        <v>2.6679841897233204E-4</v>
      </c>
      <c r="BF41" s="33">
        <f t="shared" si="199"/>
        <v>2.6679841897233204E-4</v>
      </c>
      <c r="BG41" s="33">
        <f t="shared" si="213"/>
        <v>5.3359683794466407E-4</v>
      </c>
      <c r="BH41" s="33">
        <f t="shared" si="200"/>
        <v>5.3359683794466405E-5</v>
      </c>
      <c r="BI41" s="36">
        <v>1.0674339999999999E-3</v>
      </c>
      <c r="BJ41" s="36">
        <f t="shared" si="201"/>
        <v>-1.0140743162055336E-3</v>
      </c>
      <c r="BK41" s="36">
        <f t="shared" si="214"/>
        <v>-19.004503851851851</v>
      </c>
    </row>
    <row r="42" spans="1:63">
      <c r="A42" t="s">
        <v>94</v>
      </c>
      <c r="B42">
        <v>10</v>
      </c>
      <c r="H42" t="s">
        <v>45</v>
      </c>
      <c r="R42" s="7">
        <f>AS17</f>
        <v>1.7586462450592884E-3</v>
      </c>
      <c r="AD42" s="7">
        <f>SUM(AD39:AD41)</f>
        <v>1.7786561264822136E-4</v>
      </c>
      <c r="AE42" s="7">
        <f t="shared" ref="AE42:AG42" si="215">SUM(AE39:AE41)</f>
        <v>3.555108E-3</v>
      </c>
      <c r="AF42" s="7">
        <f t="shared" si="215"/>
        <v>-3.3772423873517782E-3</v>
      </c>
      <c r="AG42" s="7">
        <f t="shared" si="215"/>
        <v>-56.986082607407411</v>
      </c>
      <c r="AS42" s="7">
        <f>SUM(AS39:AS41)</f>
        <v>4.2687747035573124E-4</v>
      </c>
      <c r="AT42" s="36">
        <f t="shared" ref="AT42:AV42" si="216">SUM(AT39:AT41)</f>
        <v>8.5323139999999992E-3</v>
      </c>
      <c r="AU42" s="36">
        <f t="shared" si="216"/>
        <v>-8.10543652964427E-3</v>
      </c>
      <c r="AV42" s="36">
        <f t="shared" si="216"/>
        <v>-56.987849234567904</v>
      </c>
      <c r="BF42" s="7"/>
      <c r="BG42" s="7"/>
      <c r="BH42" s="7">
        <f>SUM(BH39:BH41)</f>
        <v>1.7786561264822136E-4</v>
      </c>
      <c r="BI42" s="7">
        <f t="shared" ref="BI42:BK42" si="217">SUM(BI39:BI41)</f>
        <v>3.553732E-3</v>
      </c>
      <c r="BJ42" s="7">
        <f t="shared" si="217"/>
        <v>-3.3758663873517791E-3</v>
      </c>
      <c r="BK42" s="7">
        <f t="shared" si="217"/>
        <v>-37.973817947089948</v>
      </c>
    </row>
    <row r="43" spans="1:63">
      <c r="A43" t="s">
        <v>95</v>
      </c>
      <c r="B43">
        <v>5</v>
      </c>
      <c r="H43" t="s">
        <v>46</v>
      </c>
      <c r="P43" s="20"/>
      <c r="R43" s="7">
        <f>AS21</f>
        <v>2.4901185770750988E-4</v>
      </c>
      <c r="AT43" s="17"/>
      <c r="AU43" s="17"/>
      <c r="AV43" s="17"/>
      <c r="BF43" s="7"/>
      <c r="BG43" s="7"/>
      <c r="BH43" s="7"/>
      <c r="BI43" s="36"/>
      <c r="BJ43" s="36"/>
      <c r="BK43" s="36"/>
    </row>
    <row r="44" spans="1:63">
      <c r="H44" s="8" t="s">
        <v>47</v>
      </c>
      <c r="I44" s="8"/>
      <c r="J44" s="8"/>
      <c r="K44" s="8"/>
      <c r="L44" s="8"/>
      <c r="M44" s="8"/>
      <c r="N44" s="8"/>
      <c r="O44" s="8"/>
      <c r="P44" s="8"/>
      <c r="Q44" s="8"/>
      <c r="R44" s="9">
        <f>AS30</f>
        <v>2.9983942687747039E-2</v>
      </c>
      <c r="T44" s="29" t="s">
        <v>152</v>
      </c>
      <c r="U44" s="30">
        <f>$B$3+$B$6</f>
        <v>3</v>
      </c>
      <c r="V44" s="30">
        <f>$C$14</f>
        <v>3</v>
      </c>
      <c r="W44" s="30">
        <f>$D$3+$D$6</f>
        <v>0</v>
      </c>
      <c r="X44" s="30">
        <f>$E$3+$E$6</f>
        <v>28</v>
      </c>
      <c r="Y44" s="30">
        <f>$F$3+$F$6</f>
        <v>6</v>
      </c>
      <c r="Z44" s="30">
        <f>PRODUCT(U44:Y44)</f>
        <v>0</v>
      </c>
      <c r="AA44" s="31">
        <f>Z44/$B$19</f>
        <v>0</v>
      </c>
      <c r="AB44" s="32">
        <f>AA44*$A$22</f>
        <v>0</v>
      </c>
      <c r="AC44" s="33">
        <f>AB44*$B$27</f>
        <v>0</v>
      </c>
      <c r="AD44" s="33">
        <f>AC44/$B$22</f>
        <v>0</v>
      </c>
      <c r="AE44" s="7">
        <v>0</v>
      </c>
      <c r="AF44" s="7">
        <f>AD44-AE44</f>
        <v>0</v>
      </c>
      <c r="AG44" s="7">
        <v>0</v>
      </c>
      <c r="AI44" s="29" t="s">
        <v>203</v>
      </c>
      <c r="AJ44" s="30">
        <f>$B$3+$B$9</f>
        <v>7</v>
      </c>
      <c r="AK44" s="30">
        <f>$C$14</f>
        <v>3</v>
      </c>
      <c r="AL44" s="30">
        <f>$D$3+$D$9</f>
        <v>2</v>
      </c>
      <c r="AM44" s="30">
        <f>$E$3+$E$9</f>
        <v>28</v>
      </c>
      <c r="AN44" s="30">
        <f>$F$3+$F$9</f>
        <v>6</v>
      </c>
      <c r="AO44" s="30">
        <f>PRODUCT(AJ44:AN44)</f>
        <v>7056</v>
      </c>
      <c r="AP44" s="31">
        <f>AO44/$B$19</f>
        <v>9.0785573122529638E-5</v>
      </c>
      <c r="AQ44" s="33">
        <f>AP44*20</f>
        <v>1.8157114624505928E-3</v>
      </c>
      <c r="AR44" s="33">
        <f>AQ44*$B$30</f>
        <v>4.5392786561264817E-2</v>
      </c>
      <c r="AS44" s="33">
        <f>AR44/$B$22</f>
        <v>4.539278656126482E-3</v>
      </c>
      <c r="AT44" s="36">
        <v>4.5505750000000003E-3</v>
      </c>
      <c r="AU44" s="36">
        <f t="shared" ref="AU44:AU45" si="218">AS44-AT44</f>
        <v>-1.1296343873518251E-5</v>
      </c>
      <c r="AV44" s="36">
        <f>AU44/AS44</f>
        <v>-2.4885768707484019E-3</v>
      </c>
      <c r="AX44" s="30" t="s">
        <v>254</v>
      </c>
      <c r="AY44" s="30">
        <f>$B$3+$B$12</f>
        <v>2</v>
      </c>
      <c r="AZ44" s="30">
        <f>$C$14</f>
        <v>3</v>
      </c>
      <c r="BA44" s="30">
        <f>$D$3+$D$12</f>
        <v>0</v>
      </c>
      <c r="BB44" s="30">
        <f>$E$3+$E$12</f>
        <v>32</v>
      </c>
      <c r="BC44" s="30">
        <f>$F$3+$F$12</f>
        <v>6</v>
      </c>
      <c r="BD44" s="30">
        <f>PRODUCT(AY44:BC44)</f>
        <v>0</v>
      </c>
      <c r="BE44" s="30">
        <f>BD44/$B$19</f>
        <v>0</v>
      </c>
      <c r="BF44" s="33">
        <f>BE44*20</f>
        <v>0</v>
      </c>
      <c r="BG44" s="33">
        <f>BF44*$B$33</f>
        <v>0</v>
      </c>
      <c r="BH44" s="33">
        <f>BG44/$B$22</f>
        <v>0</v>
      </c>
      <c r="BI44" s="36">
        <v>0</v>
      </c>
      <c r="BJ44" s="36">
        <f t="shared" ref="BJ44:BJ45" si="219">BH44-BI44</f>
        <v>0</v>
      </c>
      <c r="BK44" s="36">
        <v>0</v>
      </c>
    </row>
    <row r="45" spans="1:63">
      <c r="H45" t="s">
        <v>48</v>
      </c>
      <c r="I45" s="20"/>
      <c r="R45" s="7">
        <f>AS38</f>
        <v>2.9185400197628453E-3</v>
      </c>
      <c r="T45" s="30" t="s">
        <v>153</v>
      </c>
      <c r="U45" s="30">
        <f t="shared" ref="U45:U62" si="220">$B$3+$B$6</f>
        <v>3</v>
      </c>
      <c r="V45" s="30">
        <f>$C$3+$C$6</f>
        <v>1</v>
      </c>
      <c r="W45" s="30">
        <f t="shared" ref="W45" si="221">$D$14</f>
        <v>3</v>
      </c>
      <c r="X45" s="30">
        <f>$E$3+$E$6</f>
        <v>28</v>
      </c>
      <c r="Y45" s="30">
        <f t="shared" ref="Y45:Y50" si="222">$F$3+$F$6</f>
        <v>6</v>
      </c>
      <c r="Z45" s="30">
        <f t="shared" ref="Z45:Z46" si="223">PRODUCT(U45:Y45)</f>
        <v>1512</v>
      </c>
      <c r="AA45" s="31">
        <f t="shared" ref="AA45:AA46" si="224">Z45/$B$19</f>
        <v>1.9454051383399211E-5</v>
      </c>
      <c r="AB45" s="32">
        <f t="shared" ref="AB45:AB46" si="225">AA45*20</f>
        <v>3.8908102766798422E-4</v>
      </c>
      <c r="AC45" s="33">
        <f t="shared" ref="AC45:AC50" si="226">AB45*$B$27</f>
        <v>1.9454051383399212E-2</v>
      </c>
      <c r="AD45" s="33">
        <f t="shared" ref="AD45:AD46" si="227">AC45/$B$22</f>
        <v>1.9454051383399212E-3</v>
      </c>
      <c r="AE45" s="7">
        <v>1.9484999999999999E-3</v>
      </c>
      <c r="AF45" s="7">
        <f t="shared" ref="AF45:AF62" si="228">AD45-AE45</f>
        <v>-3.0948616600787182E-6</v>
      </c>
      <c r="AG45" s="7">
        <f t="shared" ref="AG45:AG62" si="229">AF45/AD45</f>
        <v>-1.5908571428569715E-3</v>
      </c>
      <c r="AI45" s="30" t="s">
        <v>204</v>
      </c>
      <c r="AJ45" s="30">
        <f t="shared" ref="AJ45:AJ58" si="230">$B$3+$B$9</f>
        <v>7</v>
      </c>
      <c r="AK45" s="30">
        <f>$C$3+$C$9</f>
        <v>3</v>
      </c>
      <c r="AL45" s="30">
        <f t="shared" ref="AL45" si="231">$D$14</f>
        <v>3</v>
      </c>
      <c r="AM45" s="30">
        <f>$E$3+$E$9</f>
        <v>28</v>
      </c>
      <c r="AN45" s="30">
        <f t="shared" ref="AN45:AN50" si="232">$F$3+$F$9</f>
        <v>6</v>
      </c>
      <c r="AO45" s="30">
        <f t="shared" ref="AO45:AO46" si="233">PRODUCT(AJ45:AN45)</f>
        <v>10584</v>
      </c>
      <c r="AP45" s="31">
        <f t="shared" ref="AP45:AP46" si="234">AO45/$B$19</f>
        <v>1.3617835968379448E-4</v>
      </c>
      <c r="AQ45" s="33">
        <f t="shared" ref="AQ45:AQ46" si="235">AP45*20</f>
        <v>2.7235671936758897E-3</v>
      </c>
      <c r="AR45" s="33">
        <f t="shared" ref="AR45:AR50" si="236">AQ45*$B$30</f>
        <v>6.8089179841897246E-2</v>
      </c>
      <c r="AS45" s="33">
        <f t="shared" ref="AS45:AS46" si="237">AR45/$B$22</f>
        <v>6.8089179841897248E-3</v>
      </c>
      <c r="AT45" s="36">
        <v>6.8312750000000004E-3</v>
      </c>
      <c r="AU45" s="36">
        <f t="shared" si="218"/>
        <v>-2.2357015810275591E-5</v>
      </c>
      <c r="AV45" s="36">
        <f t="shared" ref="AV45:AV50" si="238">AU45/AS45</f>
        <v>-3.2834902494329461E-3</v>
      </c>
      <c r="AX45" s="30" t="s">
        <v>255</v>
      </c>
      <c r="AY45" s="30">
        <f t="shared" ref="AY45:AY62" si="239">$B$3+$B$12</f>
        <v>2</v>
      </c>
      <c r="AZ45" s="30">
        <f>$C$3+$C$12</f>
        <v>7</v>
      </c>
      <c r="BA45" s="30">
        <f t="shared" ref="BA45" si="240">$D$14</f>
        <v>3</v>
      </c>
      <c r="BB45" s="30">
        <f>$E$3+$E$12</f>
        <v>32</v>
      </c>
      <c r="BC45" s="30">
        <f t="shared" ref="BC45:BC50" si="241">$F$3+$F$12</f>
        <v>6</v>
      </c>
      <c r="BD45" s="30">
        <f t="shared" ref="BD45:BD46" si="242">PRODUCT(AY45:BC45)</f>
        <v>8064</v>
      </c>
      <c r="BE45" s="30">
        <f t="shared" ref="BE45:BE46" si="243">BD45/$B$19</f>
        <v>1.0375494071146245E-4</v>
      </c>
      <c r="BF45" s="33">
        <f t="shared" ref="BF45:BF46" si="244">BE45*20</f>
        <v>2.0750988142292487E-3</v>
      </c>
      <c r="BG45" s="33">
        <f t="shared" ref="BG45:BG50" si="245">BF45*$B$33</f>
        <v>5.1877470355731217E-2</v>
      </c>
      <c r="BH45" s="33">
        <f t="shared" ref="BH45:BH46" si="246">BG45/$B$22</f>
        <v>5.1877470355731221E-3</v>
      </c>
      <c r="BI45" s="36">
        <v>5.1867249999999997E-3</v>
      </c>
      <c r="BJ45" s="36">
        <f t="shared" si="219"/>
        <v>1.0220355731224012E-6</v>
      </c>
      <c r="BK45" s="36">
        <f t="shared" ref="BK45:BK50" si="247">BJ45/BH45</f>
        <v>1.9700952380949908E-4</v>
      </c>
    </row>
    <row r="46" spans="1:63">
      <c r="A46" s="3" t="s">
        <v>113</v>
      </c>
      <c r="B46" s="3"/>
      <c r="C46" s="3"/>
      <c r="H46" t="s">
        <v>49</v>
      </c>
      <c r="R46" s="7">
        <f>AS42</f>
        <v>4.2687747035573124E-4</v>
      </c>
      <c r="T46" s="30" t="s">
        <v>154</v>
      </c>
      <c r="U46" s="30">
        <f t="shared" si="220"/>
        <v>3</v>
      </c>
      <c r="V46" s="30">
        <f>$C$3+$C$6</f>
        <v>1</v>
      </c>
      <c r="W46" s="30">
        <f>$D$3+$D$6</f>
        <v>0</v>
      </c>
      <c r="X46" s="30">
        <f>$E$14</f>
        <v>3</v>
      </c>
      <c r="Y46" s="30">
        <f t="shared" si="222"/>
        <v>6</v>
      </c>
      <c r="Z46" s="30">
        <f t="shared" si="223"/>
        <v>0</v>
      </c>
      <c r="AA46" s="31">
        <f t="shared" si="224"/>
        <v>0</v>
      </c>
      <c r="AB46" s="32">
        <f t="shared" si="225"/>
        <v>0</v>
      </c>
      <c r="AC46" s="33">
        <f t="shared" si="226"/>
        <v>0</v>
      </c>
      <c r="AD46" s="33">
        <f t="shared" si="227"/>
        <v>0</v>
      </c>
      <c r="AE46" s="7">
        <v>0</v>
      </c>
      <c r="AF46" s="7">
        <f t="shared" si="228"/>
        <v>0</v>
      </c>
      <c r="AG46" s="7">
        <v>0</v>
      </c>
      <c r="AI46" s="30" t="s">
        <v>205</v>
      </c>
      <c r="AJ46" s="30">
        <f t="shared" si="230"/>
        <v>7</v>
      </c>
      <c r="AK46" s="30">
        <f>$C$3+$C$9</f>
        <v>3</v>
      </c>
      <c r="AL46" s="30">
        <f>$D$3+$D$9</f>
        <v>2</v>
      </c>
      <c r="AM46" s="30">
        <f>$E$14</f>
        <v>3</v>
      </c>
      <c r="AN46" s="30">
        <f t="shared" si="232"/>
        <v>6</v>
      </c>
      <c r="AO46" s="30">
        <f t="shared" si="233"/>
        <v>756</v>
      </c>
      <c r="AP46" s="31">
        <f t="shared" si="234"/>
        <v>9.7270256916996055E-6</v>
      </c>
      <c r="AQ46" s="33">
        <f t="shared" si="235"/>
        <v>1.9454051383399211E-4</v>
      </c>
      <c r="AR46" s="33">
        <f t="shared" si="236"/>
        <v>4.8635128458498029E-3</v>
      </c>
      <c r="AS46" s="33">
        <f t="shared" si="237"/>
        <v>4.863512845849803E-4</v>
      </c>
      <c r="AT46" s="36">
        <v>4.8682499999999997E-4</v>
      </c>
      <c r="AU46" s="36">
        <f>AS46-AT46</f>
        <v>-4.7371541501967226E-7</v>
      </c>
      <c r="AV46" s="36">
        <f t="shared" si="238"/>
        <v>-9.7401904761886123E-4</v>
      </c>
      <c r="AX46" s="30" t="s">
        <v>256</v>
      </c>
      <c r="AY46" s="30">
        <f t="shared" si="239"/>
        <v>2</v>
      </c>
      <c r="AZ46" s="30">
        <f>$C$3+$C$12</f>
        <v>7</v>
      </c>
      <c r="BA46" s="30">
        <f>$D$3+$D$12</f>
        <v>0</v>
      </c>
      <c r="BB46" s="30">
        <f>$E$14</f>
        <v>3</v>
      </c>
      <c r="BC46" s="30">
        <f t="shared" si="241"/>
        <v>6</v>
      </c>
      <c r="BD46" s="30">
        <f t="shared" si="242"/>
        <v>0</v>
      </c>
      <c r="BE46" s="30">
        <f t="shared" si="243"/>
        <v>0</v>
      </c>
      <c r="BF46" s="33">
        <f t="shared" si="244"/>
        <v>0</v>
      </c>
      <c r="BG46" s="33">
        <f t="shared" si="245"/>
        <v>0</v>
      </c>
      <c r="BH46" s="33">
        <f t="shared" si="246"/>
        <v>0</v>
      </c>
      <c r="BI46" s="36">
        <v>0</v>
      </c>
      <c r="BJ46" s="36">
        <f>BH46-BI46</f>
        <v>0</v>
      </c>
      <c r="BK46" s="36">
        <v>0</v>
      </c>
    </row>
    <row r="47" spans="1:63">
      <c r="A47">
        <f>C52*C53</f>
        <v>2</v>
      </c>
      <c r="H47" s="8" t="s">
        <v>50</v>
      </c>
      <c r="I47" s="8"/>
      <c r="J47" s="8"/>
      <c r="K47" s="8"/>
      <c r="L47" s="8"/>
      <c r="M47" s="8"/>
      <c r="N47" s="8"/>
      <c r="O47" s="8"/>
      <c r="P47" s="8"/>
      <c r="Q47" s="8"/>
      <c r="R47" s="9">
        <f>AS51</f>
        <v>1.2272264081027672E-2</v>
      </c>
      <c r="T47" s="29" t="s">
        <v>155</v>
      </c>
      <c r="U47" s="30">
        <f t="shared" si="220"/>
        <v>3</v>
      </c>
      <c r="V47" s="30">
        <f>$C$14</f>
        <v>3</v>
      </c>
      <c r="W47" s="30">
        <f>$D$14</f>
        <v>3</v>
      </c>
      <c r="X47" s="30">
        <f>$E$3+$E$6</f>
        <v>28</v>
      </c>
      <c r="Y47" s="30">
        <f t="shared" si="222"/>
        <v>6</v>
      </c>
      <c r="Z47" s="30">
        <f>PRODUCT(U47:Y47)</f>
        <v>4536</v>
      </c>
      <c r="AA47" s="31">
        <f>Z47/$B$19</f>
        <v>5.8362154150197626E-5</v>
      </c>
      <c r="AB47" s="32">
        <f>AA47*$A$22</f>
        <v>5.8362154150197626E-5</v>
      </c>
      <c r="AC47" s="33">
        <f t="shared" si="226"/>
        <v>2.9181077075098815E-3</v>
      </c>
      <c r="AD47" s="33">
        <f>AC47/$B$22</f>
        <v>2.9181077075098814E-4</v>
      </c>
      <c r="AE47" s="7">
        <v>5.8174999999999998E-3</v>
      </c>
      <c r="AF47" s="7">
        <f t="shared" si="228"/>
        <v>-5.5256892292490116E-3</v>
      </c>
      <c r="AG47" s="7">
        <f t="shared" si="229"/>
        <v>-18.935864550264551</v>
      </c>
      <c r="AI47" s="29" t="s">
        <v>206</v>
      </c>
      <c r="AJ47" s="30">
        <f t="shared" si="230"/>
        <v>7</v>
      </c>
      <c r="AK47" s="30">
        <f>$C$14</f>
        <v>3</v>
      </c>
      <c r="AL47" s="30">
        <f>$D$14</f>
        <v>3</v>
      </c>
      <c r="AM47" s="30">
        <f>$E$3+$E$9</f>
        <v>28</v>
      </c>
      <c r="AN47" s="30">
        <f t="shared" si="232"/>
        <v>6</v>
      </c>
      <c r="AO47" s="30">
        <f>PRODUCT(AJ47:AN47)</f>
        <v>10584</v>
      </c>
      <c r="AP47" s="31">
        <f>AO47/$B$19</f>
        <v>1.3617835968379448E-4</v>
      </c>
      <c r="AQ47" s="33">
        <f>AP47*$A$22</f>
        <v>1.3617835968379448E-4</v>
      </c>
      <c r="AR47" s="33">
        <f t="shared" si="236"/>
        <v>3.404458992094862E-3</v>
      </c>
      <c r="AS47" s="33">
        <f>AR47/$B$22</f>
        <v>3.4044589920948621E-4</v>
      </c>
      <c r="AT47" s="36">
        <v>6.8083750000000002E-3</v>
      </c>
      <c r="AU47" s="36">
        <f t="shared" ref="AU47:AU48" si="248">AS47-AT47</f>
        <v>-6.4679291007905138E-3</v>
      </c>
      <c r="AV47" s="36">
        <f t="shared" si="238"/>
        <v>-18.998405079365078</v>
      </c>
      <c r="AX47" s="30" t="s">
        <v>257</v>
      </c>
      <c r="AY47" s="30">
        <f t="shared" si="239"/>
        <v>2</v>
      </c>
      <c r="AZ47" s="30">
        <f>$C$14</f>
        <v>3</v>
      </c>
      <c r="BA47" s="30">
        <f>$D$14</f>
        <v>3</v>
      </c>
      <c r="BB47" s="30">
        <f>$E$3+$E$12</f>
        <v>32</v>
      </c>
      <c r="BC47" s="30">
        <f t="shared" si="241"/>
        <v>6</v>
      </c>
      <c r="BD47" s="30">
        <f>PRODUCT(AY47:BC47)</f>
        <v>3456</v>
      </c>
      <c r="BE47" s="30">
        <f>BD47/$B$19</f>
        <v>4.4466403162055333E-5</v>
      </c>
      <c r="BF47" s="33">
        <f>BE47*$A$22</f>
        <v>4.4466403162055333E-5</v>
      </c>
      <c r="BG47" s="33">
        <f t="shared" si="245"/>
        <v>1.1116600790513833E-3</v>
      </c>
      <c r="BH47" s="33">
        <f>BG47/$B$22</f>
        <v>1.1116600790513832E-4</v>
      </c>
      <c r="BI47" s="36">
        <v>2.2235000000000002E-3</v>
      </c>
      <c r="BJ47" s="36">
        <f t="shared" ref="BJ47:BJ48" si="249">BH47-BI47</f>
        <v>-2.1123339920948621E-3</v>
      </c>
      <c r="BK47" s="36">
        <f t="shared" si="247"/>
        <v>-19.001617777777785</v>
      </c>
    </row>
    <row r="48" spans="1:63">
      <c r="H48" t="s">
        <v>51</v>
      </c>
      <c r="R48" s="7">
        <f>AS59</f>
        <v>1.4412209733201582E-3</v>
      </c>
      <c r="T48" s="30" t="s">
        <v>156</v>
      </c>
      <c r="U48" s="30">
        <f t="shared" si="220"/>
        <v>3</v>
      </c>
      <c r="V48" s="30">
        <f>$C$14</f>
        <v>3</v>
      </c>
      <c r="W48" s="30">
        <f>$D$3+$D$6</f>
        <v>0</v>
      </c>
      <c r="X48" s="30">
        <f>$E$14</f>
        <v>3</v>
      </c>
      <c r="Y48" s="30">
        <f t="shared" si="222"/>
        <v>6</v>
      </c>
      <c r="Z48" s="30">
        <f t="shared" ref="Z48:Z50" si="250">PRODUCT(U48:Y48)</f>
        <v>0</v>
      </c>
      <c r="AA48" s="31">
        <f t="shared" ref="AA48:AA62" si="251">Z48/$B$19</f>
        <v>0</v>
      </c>
      <c r="AB48" s="32">
        <f t="shared" ref="AB48:AB62" si="252">AA48*$A$22</f>
        <v>0</v>
      </c>
      <c r="AC48" s="33">
        <f t="shared" si="226"/>
        <v>0</v>
      </c>
      <c r="AD48" s="33">
        <f t="shared" ref="AD48:AD62" si="253">AC48/$B$22</f>
        <v>0</v>
      </c>
      <c r="AE48" s="7">
        <v>0</v>
      </c>
      <c r="AF48" s="7">
        <f t="shared" si="228"/>
        <v>0</v>
      </c>
      <c r="AG48" s="7">
        <v>0</v>
      </c>
      <c r="AI48" s="30" t="s">
        <v>207</v>
      </c>
      <c r="AJ48" s="30">
        <f t="shared" si="230"/>
        <v>7</v>
      </c>
      <c r="AK48" s="30">
        <f>$C$14</f>
        <v>3</v>
      </c>
      <c r="AL48" s="30">
        <f>$D$3+$D$9</f>
        <v>2</v>
      </c>
      <c r="AM48" s="30">
        <f>$E$14</f>
        <v>3</v>
      </c>
      <c r="AN48" s="30">
        <f t="shared" si="232"/>
        <v>6</v>
      </c>
      <c r="AO48" s="30">
        <f t="shared" ref="AO48:AO50" si="254">PRODUCT(AJ48:AN48)</f>
        <v>756</v>
      </c>
      <c r="AP48" s="31">
        <f t="shared" ref="AP48:AP50" si="255">AO48/$B$19</f>
        <v>9.7270256916996055E-6</v>
      </c>
      <c r="AQ48" s="33">
        <f t="shared" ref="AQ48:AQ50" si="256">AP48*$A$22</f>
        <v>9.7270256916996055E-6</v>
      </c>
      <c r="AR48" s="33">
        <f t="shared" si="236"/>
        <v>2.4317564229249012E-4</v>
      </c>
      <c r="AS48" s="33">
        <f t="shared" ref="AS48:AS50" si="257">AR48/$B$22</f>
        <v>2.4317564229249014E-5</v>
      </c>
      <c r="AT48" s="36">
        <v>4.8382500000000001E-4</v>
      </c>
      <c r="AU48" s="36">
        <f t="shared" si="248"/>
        <v>-4.5950743577075098E-4</v>
      </c>
      <c r="AV48" s="36">
        <f t="shared" si="238"/>
        <v>-18.89611276190476</v>
      </c>
      <c r="AX48" s="30" t="s">
        <v>258</v>
      </c>
      <c r="AY48" s="30">
        <f t="shared" si="239"/>
        <v>2</v>
      </c>
      <c r="AZ48" s="30">
        <f>$C$14</f>
        <v>3</v>
      </c>
      <c r="BA48" s="30">
        <f>$D$3+$D$12</f>
        <v>0</v>
      </c>
      <c r="BB48" s="30">
        <f>$E$14</f>
        <v>3</v>
      </c>
      <c r="BC48" s="30">
        <f t="shared" si="241"/>
        <v>6</v>
      </c>
      <c r="BD48" s="30">
        <f t="shared" ref="BD48:BD50" si="258">PRODUCT(AY48:BC48)</f>
        <v>0</v>
      </c>
      <c r="BE48" s="30">
        <f t="shared" ref="BE48:BE50" si="259">BD48/$B$19</f>
        <v>0</v>
      </c>
      <c r="BF48" s="33">
        <f t="shared" ref="BF48:BF50" si="260">BE48*$A$22</f>
        <v>0</v>
      </c>
      <c r="BG48" s="33">
        <f t="shared" si="245"/>
        <v>0</v>
      </c>
      <c r="BH48" s="33">
        <f t="shared" ref="BH48:BH50" si="261">BG48/$B$22</f>
        <v>0</v>
      </c>
      <c r="BI48" s="36">
        <v>0</v>
      </c>
      <c r="BJ48" s="36">
        <f t="shared" si="249"/>
        <v>0</v>
      </c>
      <c r="BK48" s="36">
        <v>0</v>
      </c>
    </row>
    <row r="49" spans="1:63">
      <c r="A49" t="s">
        <v>114</v>
      </c>
      <c r="C49">
        <v>2</v>
      </c>
      <c r="D49">
        <v>3</v>
      </c>
      <c r="E49">
        <v>4</v>
      </c>
      <c r="F49">
        <v>5</v>
      </c>
      <c r="H49" t="s">
        <v>55</v>
      </c>
      <c r="R49" s="7">
        <f>AS63</f>
        <v>4.9802371541501976E-4</v>
      </c>
      <c r="T49" s="30" t="s">
        <v>157</v>
      </c>
      <c r="U49" s="30">
        <f t="shared" si="220"/>
        <v>3</v>
      </c>
      <c r="V49" s="30">
        <f>$C$3+$C$6</f>
        <v>1</v>
      </c>
      <c r="W49" s="30">
        <f>$D$14</f>
        <v>3</v>
      </c>
      <c r="X49" s="30">
        <f>$E$14</f>
        <v>3</v>
      </c>
      <c r="Y49" s="30">
        <f t="shared" si="222"/>
        <v>6</v>
      </c>
      <c r="Z49" s="30">
        <f t="shared" si="250"/>
        <v>162</v>
      </c>
      <c r="AA49" s="31">
        <f t="shared" si="251"/>
        <v>2.084362648221344E-6</v>
      </c>
      <c r="AB49" s="32">
        <f t="shared" si="252"/>
        <v>2.084362648221344E-6</v>
      </c>
      <c r="AC49" s="33">
        <f t="shared" si="226"/>
        <v>1.042181324110672E-4</v>
      </c>
      <c r="AD49" s="33">
        <f t="shared" si="253"/>
        <v>1.042181324110672E-5</v>
      </c>
      <c r="AE49" s="7">
        <v>2.1005000000000001E-4</v>
      </c>
      <c r="AF49" s="7">
        <f t="shared" si="228"/>
        <v>-1.996281867588933E-4</v>
      </c>
      <c r="AG49" s="7">
        <f t="shared" si="229"/>
        <v>-19.154842074074075</v>
      </c>
      <c r="AI49" s="30" t="s">
        <v>208</v>
      </c>
      <c r="AJ49" s="30">
        <f t="shared" si="230"/>
        <v>7</v>
      </c>
      <c r="AK49" s="30">
        <f>$C$3+$C$9</f>
        <v>3</v>
      </c>
      <c r="AL49" s="30">
        <f>$D$14</f>
        <v>3</v>
      </c>
      <c r="AM49" s="30">
        <f>$E$14</f>
        <v>3</v>
      </c>
      <c r="AN49" s="30">
        <f t="shared" si="232"/>
        <v>6</v>
      </c>
      <c r="AO49" s="30">
        <f t="shared" si="254"/>
        <v>1134</v>
      </c>
      <c r="AP49" s="31">
        <f t="shared" si="255"/>
        <v>1.4590538537549407E-5</v>
      </c>
      <c r="AQ49" s="33">
        <f t="shared" si="256"/>
        <v>1.4590538537549407E-5</v>
      </c>
      <c r="AR49" s="33">
        <f t="shared" si="236"/>
        <v>3.6476346343873519E-4</v>
      </c>
      <c r="AS49" s="33">
        <f t="shared" si="257"/>
        <v>3.6476346343873517E-5</v>
      </c>
      <c r="AT49" s="36">
        <v>7.33025E-4</v>
      </c>
      <c r="AU49" s="36">
        <v>0</v>
      </c>
      <c r="AV49" s="36">
        <f t="shared" si="238"/>
        <v>0</v>
      </c>
      <c r="AX49" s="30" t="s">
        <v>259</v>
      </c>
      <c r="AY49" s="30">
        <f t="shared" si="239"/>
        <v>2</v>
      </c>
      <c r="AZ49" s="30">
        <f>$C$3+$C$12</f>
        <v>7</v>
      </c>
      <c r="BA49" s="30">
        <f>$D$14</f>
        <v>3</v>
      </c>
      <c r="BB49" s="30">
        <f>$E$14</f>
        <v>3</v>
      </c>
      <c r="BC49" s="30">
        <f t="shared" si="241"/>
        <v>6</v>
      </c>
      <c r="BD49" s="30">
        <f t="shared" si="258"/>
        <v>756</v>
      </c>
      <c r="BE49" s="30">
        <f t="shared" si="259"/>
        <v>9.7270256916996055E-6</v>
      </c>
      <c r="BF49" s="33">
        <f t="shared" si="260"/>
        <v>9.7270256916996055E-6</v>
      </c>
      <c r="BG49" s="33">
        <f t="shared" si="245"/>
        <v>2.4317564229249012E-4</v>
      </c>
      <c r="BH49" s="33">
        <f t="shared" si="261"/>
        <v>2.4317564229249014E-5</v>
      </c>
      <c r="BI49" s="36">
        <v>4.9134999999999999E-4</v>
      </c>
      <c r="BJ49" s="36">
        <v>0</v>
      </c>
      <c r="BK49" s="36">
        <f t="shared" si="247"/>
        <v>0</v>
      </c>
    </row>
    <row r="50" spans="1:63">
      <c r="A50" t="s">
        <v>112</v>
      </c>
      <c r="C50">
        <v>1</v>
      </c>
      <c r="D50">
        <v>1</v>
      </c>
      <c r="E50">
        <v>1</v>
      </c>
      <c r="F50">
        <v>3</v>
      </c>
      <c r="G50">
        <f>SUM(C50:F50)</f>
        <v>6</v>
      </c>
      <c r="H50" s="8" t="s">
        <v>53</v>
      </c>
      <c r="I50" s="8"/>
      <c r="J50" s="8"/>
      <c r="K50" s="8"/>
      <c r="L50" s="8"/>
      <c r="M50" s="8"/>
      <c r="N50" s="8"/>
      <c r="O50" s="8"/>
      <c r="P50" s="8"/>
      <c r="Q50" s="8"/>
      <c r="R50" s="9">
        <f>BH9</f>
        <v>1.310716711956522E-2</v>
      </c>
      <c r="T50" s="30" t="s">
        <v>158</v>
      </c>
      <c r="U50" s="30">
        <f t="shared" si="220"/>
        <v>3</v>
      </c>
      <c r="V50" s="30">
        <f>$C$14</f>
        <v>3</v>
      </c>
      <c r="W50" s="30">
        <f>$D$14</f>
        <v>3</v>
      </c>
      <c r="X50" s="30">
        <f>$E$14</f>
        <v>3</v>
      </c>
      <c r="Y50" s="30">
        <f t="shared" si="222"/>
        <v>6</v>
      </c>
      <c r="Z50" s="30">
        <f t="shared" si="250"/>
        <v>486</v>
      </c>
      <c r="AA50" s="31">
        <f t="shared" si="251"/>
        <v>6.2530879446640313E-6</v>
      </c>
      <c r="AB50" s="32">
        <f t="shared" si="252"/>
        <v>6.2530879446640313E-6</v>
      </c>
      <c r="AC50" s="33">
        <f t="shared" si="226"/>
        <v>3.1265439723320156E-4</v>
      </c>
      <c r="AD50" s="33">
        <f t="shared" si="253"/>
        <v>3.1265439723320154E-5</v>
      </c>
      <c r="AE50" s="7">
        <v>6.3299999999999999E-4</v>
      </c>
      <c r="AF50" s="7">
        <f t="shared" si="228"/>
        <v>-6.017345602766798E-4</v>
      </c>
      <c r="AG50" s="7">
        <f t="shared" si="229"/>
        <v>-19.245997037037039</v>
      </c>
      <c r="AI50" s="30" t="s">
        <v>209</v>
      </c>
      <c r="AJ50" s="30">
        <f t="shared" si="230"/>
        <v>7</v>
      </c>
      <c r="AK50" s="30">
        <f>$C$14</f>
        <v>3</v>
      </c>
      <c r="AL50" s="30">
        <f>$D$14</f>
        <v>3</v>
      </c>
      <c r="AM50" s="30">
        <f>$E$14</f>
        <v>3</v>
      </c>
      <c r="AN50" s="30">
        <f t="shared" si="232"/>
        <v>6</v>
      </c>
      <c r="AO50" s="30">
        <f t="shared" si="254"/>
        <v>1134</v>
      </c>
      <c r="AP50" s="31">
        <f t="shared" si="255"/>
        <v>1.4590538537549407E-5</v>
      </c>
      <c r="AQ50" s="33">
        <f t="shared" si="256"/>
        <v>1.4590538537549407E-5</v>
      </c>
      <c r="AR50" s="33">
        <f t="shared" si="236"/>
        <v>3.6476346343873519E-4</v>
      </c>
      <c r="AS50" s="33">
        <f t="shared" si="257"/>
        <v>3.6476346343873517E-5</v>
      </c>
      <c r="AT50" s="36">
        <v>7.2535000000000004E-4</v>
      </c>
      <c r="AU50" s="36">
        <f t="shared" ref="AU50" si="262">AS50-AT50</f>
        <v>-6.8887365365612652E-4</v>
      </c>
      <c r="AV50" s="36">
        <f t="shared" si="238"/>
        <v>-18.885489439153439</v>
      </c>
      <c r="AX50" s="30" t="s">
        <v>260</v>
      </c>
      <c r="AY50" s="30">
        <f t="shared" si="239"/>
        <v>2</v>
      </c>
      <c r="AZ50" s="30">
        <f>$C$14</f>
        <v>3</v>
      </c>
      <c r="BA50" s="30">
        <f>$D$14</f>
        <v>3</v>
      </c>
      <c r="BB50" s="30">
        <f>$E$14</f>
        <v>3</v>
      </c>
      <c r="BC50" s="30">
        <f t="shared" si="241"/>
        <v>6</v>
      </c>
      <c r="BD50" s="30">
        <f t="shared" si="258"/>
        <v>324</v>
      </c>
      <c r="BE50" s="30">
        <f t="shared" si="259"/>
        <v>4.1687252964426881E-6</v>
      </c>
      <c r="BF50" s="33">
        <f t="shared" si="260"/>
        <v>4.1687252964426881E-6</v>
      </c>
      <c r="BG50" s="33">
        <f t="shared" si="245"/>
        <v>1.042181324110672E-4</v>
      </c>
      <c r="BH50" s="33">
        <f t="shared" si="261"/>
        <v>1.042181324110672E-5</v>
      </c>
      <c r="BI50" s="36">
        <v>2.10375E-4</v>
      </c>
      <c r="BJ50" s="36">
        <f t="shared" ref="BJ50" si="263">BH50-BI50</f>
        <v>-1.9995318675889329E-4</v>
      </c>
      <c r="BK50" s="36">
        <f t="shared" si="247"/>
        <v>-19.186026666666667</v>
      </c>
    </row>
    <row r="51" spans="1:63">
      <c r="A51" t="s">
        <v>115</v>
      </c>
      <c r="C51">
        <f>C50/$G$50</f>
        <v>0.16666666666666666</v>
      </c>
      <c r="D51">
        <f>D50/$G$50</f>
        <v>0.16666666666666666</v>
      </c>
      <c r="E51">
        <f>E50/$G$50</f>
        <v>0.16666666666666666</v>
      </c>
      <c r="F51">
        <f>F50/$G$50</f>
        <v>0.5</v>
      </c>
      <c r="H51" t="s">
        <v>54</v>
      </c>
      <c r="R51" s="7">
        <f>BH17</f>
        <v>1.5320065464426876E-3</v>
      </c>
      <c r="U51">
        <f t="shared" si="220"/>
        <v>3</v>
      </c>
      <c r="AA51" s="15"/>
      <c r="AB51" s="10"/>
      <c r="AC51" s="7"/>
      <c r="AD51" s="7">
        <f>SUM(AD44:AD50)</f>
        <v>2.2789031620553363E-3</v>
      </c>
      <c r="AE51" s="7">
        <f t="shared" ref="AE51:AG51" si="264">SUM(AE44:AE50)</f>
        <v>8.60905E-3</v>
      </c>
      <c r="AF51" s="7">
        <f t="shared" si="264"/>
        <v>-6.3301468379446633E-3</v>
      </c>
      <c r="AG51" s="7">
        <f t="shared" si="264"/>
        <v>-57.338294518518524</v>
      </c>
      <c r="AP51" s="15"/>
      <c r="AQ51" s="7"/>
      <c r="AR51" s="7"/>
      <c r="AS51" s="7">
        <f>SUM(AS44:AS50)</f>
        <v>1.2272264081027672E-2</v>
      </c>
      <c r="AT51" s="36">
        <f t="shared" ref="AT51:AV51" si="265">SUM(AT44:AT50)</f>
        <v>2.0619249999999999E-2</v>
      </c>
      <c r="AU51" s="36">
        <f t="shared" si="265"/>
        <v>-7.6504372653162043E-3</v>
      </c>
      <c r="AV51" s="36">
        <f t="shared" si="265"/>
        <v>-56.786753366591078</v>
      </c>
      <c r="BF51" s="7"/>
      <c r="BG51" s="7"/>
      <c r="BH51" s="7">
        <f>SUM(BH44:BH50)</f>
        <v>5.3336524209486157E-3</v>
      </c>
      <c r="BI51" s="7">
        <f t="shared" ref="BI51:BK51" si="266">SUM(BI44:BI50)</f>
        <v>8.1119499999999997E-3</v>
      </c>
      <c r="BJ51" s="7">
        <f t="shared" si="266"/>
        <v>-2.3112651432806329E-3</v>
      </c>
      <c r="BK51" s="7">
        <f t="shared" si="266"/>
        <v>-38.187447434920642</v>
      </c>
    </row>
    <row r="52" spans="1:63">
      <c r="A52" t="s">
        <v>116</v>
      </c>
      <c r="C52">
        <f>SUMPRODUCT(C49:F49,C51:F51)</f>
        <v>4</v>
      </c>
      <c r="H52" t="s">
        <v>55</v>
      </c>
      <c r="R52" s="7">
        <f>BH21</f>
        <v>4.565217391304348E-4</v>
      </c>
      <c r="T52" s="30" t="s">
        <v>159</v>
      </c>
      <c r="U52" s="30">
        <f t="shared" si="220"/>
        <v>3</v>
      </c>
      <c r="V52" s="30">
        <f>$C$14</f>
        <v>3</v>
      </c>
      <c r="W52" s="30">
        <f>$D$3+$D$6</f>
        <v>0</v>
      </c>
      <c r="X52" s="30">
        <f>$E$3+$E$6</f>
        <v>28</v>
      </c>
      <c r="Y52" s="30">
        <f>$F$18-$F$14-$F$3-$F$6</f>
        <v>42</v>
      </c>
      <c r="Z52" s="30">
        <f t="shared" ref="Z52:Z58" si="267">PRODUCT(U52:Y52)</f>
        <v>0</v>
      </c>
      <c r="AA52" s="31">
        <f t="shared" si="251"/>
        <v>0</v>
      </c>
      <c r="AB52" s="32">
        <f t="shared" si="252"/>
        <v>0</v>
      </c>
      <c r="AC52" s="33">
        <f>AB52*$C$27</f>
        <v>0</v>
      </c>
      <c r="AD52" s="33">
        <f t="shared" si="253"/>
        <v>0</v>
      </c>
      <c r="AE52" s="7">
        <v>0</v>
      </c>
      <c r="AF52" s="7">
        <f t="shared" si="228"/>
        <v>0</v>
      </c>
      <c r="AG52" s="7">
        <v>0</v>
      </c>
      <c r="AI52" s="30" t="s">
        <v>210</v>
      </c>
      <c r="AJ52" s="30">
        <f t="shared" si="230"/>
        <v>7</v>
      </c>
      <c r="AK52" s="30">
        <f>$C$14</f>
        <v>3</v>
      </c>
      <c r="AL52" s="30">
        <f>$D$3+$D$9</f>
        <v>2</v>
      </c>
      <c r="AM52" s="30">
        <f>$E$3+$E$9</f>
        <v>28</v>
      </c>
      <c r="AN52" s="30">
        <f>$F$18-$F$3-$F$9-$F$14</f>
        <v>42</v>
      </c>
      <c r="AO52" s="30">
        <f t="shared" ref="AO52:AO58" si="268">PRODUCT(AJ52:AN52)</f>
        <v>49392</v>
      </c>
      <c r="AP52" s="31">
        <f t="shared" ref="AP52:AP58" si="269">AO52/$B$19</f>
        <v>6.3549901185770751E-4</v>
      </c>
      <c r="AQ52" s="33">
        <f t="shared" ref="AQ52:AQ58" si="270">AP52*$A$22</f>
        <v>6.3549901185770751E-4</v>
      </c>
      <c r="AR52" s="33">
        <f>AQ52*$C$30</f>
        <v>3.1774950592885374E-3</v>
      </c>
      <c r="AS52" s="33">
        <f t="shared" ref="AS52:AS58" si="271">AR52/$B$22</f>
        <v>3.1774950592885375E-4</v>
      </c>
      <c r="AT52" s="36">
        <v>6.3586449999999996E-3</v>
      </c>
      <c r="AU52" s="36">
        <f t="shared" ref="AU52:AU58" si="272">AS52-AT52</f>
        <v>-6.0408954940711461E-3</v>
      </c>
      <c r="AV52" s="36">
        <f t="shared" ref="AV52:AV58" si="273">AU52/AS52</f>
        <v>-19.011502398445092</v>
      </c>
      <c r="AX52" s="30" t="s">
        <v>261</v>
      </c>
      <c r="AY52" s="30">
        <f t="shared" si="239"/>
        <v>2</v>
      </c>
      <c r="AZ52" s="30">
        <f>$C$14</f>
        <v>3</v>
      </c>
      <c r="BA52" s="30">
        <f>$D$3+$D$12</f>
        <v>0</v>
      </c>
      <c r="BB52" s="30">
        <f>$E$3+$E$12</f>
        <v>32</v>
      </c>
      <c r="BC52" s="30">
        <f>$F$18-$F$3-$F$12-$F$14</f>
        <v>42</v>
      </c>
      <c r="BD52" s="30">
        <f t="shared" ref="BD52:BD58" si="274">PRODUCT(AY52:BC52)</f>
        <v>0</v>
      </c>
      <c r="BE52" s="30">
        <f t="shared" ref="BE52:BE58" si="275">BD52/$B$19</f>
        <v>0</v>
      </c>
      <c r="BF52" s="33">
        <f t="shared" ref="BF52:BF58" si="276">BE52*$A$22</f>
        <v>0</v>
      </c>
      <c r="BG52" s="33">
        <f>BF52*$C$33</f>
        <v>0</v>
      </c>
      <c r="BH52" s="33">
        <f t="shared" ref="BH52:BH58" si="277">BG52/$B$22</f>
        <v>0</v>
      </c>
      <c r="BI52" s="36">
        <v>0</v>
      </c>
      <c r="BJ52" s="36">
        <f t="shared" ref="BJ52:BJ58" si="278">BH52-BI52</f>
        <v>0</v>
      </c>
      <c r="BK52" s="36">
        <v>0</v>
      </c>
    </row>
    <row r="53" spans="1:63">
      <c r="A53" t="s">
        <v>116</v>
      </c>
      <c r="B53" t="s">
        <v>117</v>
      </c>
      <c r="C53">
        <f>A65</f>
        <v>0.5</v>
      </c>
      <c r="H53" s="8" t="s">
        <v>56</v>
      </c>
      <c r="I53" s="8"/>
      <c r="J53" s="8"/>
      <c r="K53" s="8"/>
      <c r="L53" s="8"/>
      <c r="M53" s="8"/>
      <c r="N53" s="8"/>
      <c r="O53" s="8"/>
      <c r="P53" s="8"/>
      <c r="Q53" s="8"/>
      <c r="R53" s="9">
        <f>BH30</f>
        <v>4.6712882905138335E-3</v>
      </c>
      <c r="T53" s="30" t="s">
        <v>160</v>
      </c>
      <c r="U53" s="30">
        <f t="shared" si="220"/>
        <v>3</v>
      </c>
      <c r="V53" s="30">
        <f>$C$3+$C$6</f>
        <v>1</v>
      </c>
      <c r="W53" s="30">
        <f t="shared" ref="W53" si="279">$D$14</f>
        <v>3</v>
      </c>
      <c r="X53" s="30">
        <f>$E$3+$E$6</f>
        <v>28</v>
      </c>
      <c r="Y53" s="30">
        <f>$F$18-$F$14-$F$3-$F$6</f>
        <v>42</v>
      </c>
      <c r="Z53" s="30">
        <f t="shared" si="267"/>
        <v>10584</v>
      </c>
      <c r="AA53" s="31">
        <f t="shared" si="251"/>
        <v>1.3617835968379448E-4</v>
      </c>
      <c r="AB53" s="32">
        <f t="shared" si="252"/>
        <v>1.3617835968379448E-4</v>
      </c>
      <c r="AC53" s="33">
        <f t="shared" ref="AC53:AC58" si="280">AB53*$C$27</f>
        <v>1.6341403162055336E-3</v>
      </c>
      <c r="AD53" s="33">
        <f t="shared" si="253"/>
        <v>1.6341403162055336E-4</v>
      </c>
      <c r="AE53" s="7">
        <v>3.2695319999999999E-3</v>
      </c>
      <c r="AF53" s="7">
        <f t="shared" si="228"/>
        <v>-3.1061179683794463E-3</v>
      </c>
      <c r="AG53" s="7">
        <f t="shared" si="229"/>
        <v>-19.00765765079365</v>
      </c>
      <c r="AI53" s="30" t="s">
        <v>211</v>
      </c>
      <c r="AJ53" s="30">
        <f t="shared" si="230"/>
        <v>7</v>
      </c>
      <c r="AK53" s="30">
        <f>$C$3+$C$9</f>
        <v>3</v>
      </c>
      <c r="AL53" s="30">
        <f t="shared" ref="AL53" si="281">$D$14</f>
        <v>3</v>
      </c>
      <c r="AM53" s="30">
        <f>$E$3+$E$9</f>
        <v>28</v>
      </c>
      <c r="AN53" s="30">
        <f t="shared" ref="AN53:AN58" si="282">$F$18-$F$3-$F$9-$F$14</f>
        <v>42</v>
      </c>
      <c r="AO53" s="30">
        <f t="shared" si="268"/>
        <v>74088</v>
      </c>
      <c r="AP53" s="31">
        <f t="shared" si="269"/>
        <v>9.5324851778656131E-4</v>
      </c>
      <c r="AQ53" s="33">
        <f t="shared" si="270"/>
        <v>9.5324851778656131E-4</v>
      </c>
      <c r="AR53" s="33">
        <f t="shared" ref="AR53:AR58" si="283">AQ53*$C$30</f>
        <v>4.7662425889328066E-3</v>
      </c>
      <c r="AS53" s="33">
        <f t="shared" si="271"/>
        <v>4.7662425889328066E-4</v>
      </c>
      <c r="AT53" s="36">
        <v>9.5328949999999996E-3</v>
      </c>
      <c r="AU53" s="36">
        <f t="shared" si="272"/>
        <v>-9.0562707411067193E-3</v>
      </c>
      <c r="AV53" s="36">
        <f t="shared" si="273"/>
        <v>-19.000859843213476</v>
      </c>
      <c r="AX53" s="30" t="s">
        <v>262</v>
      </c>
      <c r="AY53" s="30">
        <f t="shared" si="239"/>
        <v>2</v>
      </c>
      <c r="AZ53" s="30">
        <f>$C$3+$C$12</f>
        <v>7</v>
      </c>
      <c r="BA53" s="30">
        <f t="shared" ref="BA53" si="284">$D$14</f>
        <v>3</v>
      </c>
      <c r="BB53" s="30">
        <f>$E$3+$E$12</f>
        <v>32</v>
      </c>
      <c r="BC53" s="30">
        <f t="shared" ref="BC53:BC58" si="285">$F$18-$F$3-$F$12-$F$14</f>
        <v>42</v>
      </c>
      <c r="BD53" s="30">
        <f t="shared" si="274"/>
        <v>56448</v>
      </c>
      <c r="BE53" s="30">
        <f t="shared" si="275"/>
        <v>7.262845849802371E-4</v>
      </c>
      <c r="BF53" s="33">
        <f t="shared" si="276"/>
        <v>7.262845849802371E-4</v>
      </c>
      <c r="BG53" s="33">
        <f t="shared" ref="BG53:BG58" si="286">BF53*$C$33</f>
        <v>3.6314229249011856E-3</v>
      </c>
      <c r="BH53" s="33">
        <f t="shared" si="277"/>
        <v>3.6314229249011855E-4</v>
      </c>
      <c r="BI53" s="36">
        <v>7.2456600000000001E-3</v>
      </c>
      <c r="BJ53" s="36">
        <f t="shared" si="278"/>
        <v>-6.8825177075098817E-3</v>
      </c>
      <c r="BK53" s="36">
        <f t="shared" ref="BK53:BK58" si="287">BJ53/BH53</f>
        <v>-18.952674612244902</v>
      </c>
    </row>
    <row r="54" spans="1:63">
      <c r="H54" t="s">
        <v>57</v>
      </c>
      <c r="R54" s="7">
        <f>BH38</f>
        <v>5.0256299407114627E-4</v>
      </c>
      <c r="T54" s="30" t="s">
        <v>161</v>
      </c>
      <c r="U54" s="30">
        <f t="shared" si="220"/>
        <v>3</v>
      </c>
      <c r="V54" s="30">
        <f>$C$3+$C$6</f>
        <v>1</v>
      </c>
      <c r="W54" s="30">
        <f>$D$3+$D$6</f>
        <v>0</v>
      </c>
      <c r="X54" s="30">
        <f>$E$14</f>
        <v>3</v>
      </c>
      <c r="Y54" s="30">
        <f t="shared" ref="Y54:Y58" si="288">$F$18-$F$14-$F$3-$F$6</f>
        <v>42</v>
      </c>
      <c r="Z54" s="30">
        <f t="shared" si="267"/>
        <v>0</v>
      </c>
      <c r="AA54" s="31">
        <f t="shared" si="251"/>
        <v>0</v>
      </c>
      <c r="AB54" s="32">
        <f t="shared" si="252"/>
        <v>0</v>
      </c>
      <c r="AC54" s="33">
        <f t="shared" si="280"/>
        <v>0</v>
      </c>
      <c r="AD54" s="33">
        <f t="shared" si="253"/>
        <v>0</v>
      </c>
      <c r="AE54" s="7">
        <v>0</v>
      </c>
      <c r="AF54" s="7">
        <f t="shared" si="228"/>
        <v>0</v>
      </c>
      <c r="AG54" s="7">
        <v>0</v>
      </c>
      <c r="AI54" s="30" t="s">
        <v>212</v>
      </c>
      <c r="AJ54" s="30">
        <f t="shared" si="230"/>
        <v>7</v>
      </c>
      <c r="AK54" s="30">
        <f>$C$3+$C$9</f>
        <v>3</v>
      </c>
      <c r="AL54" s="30">
        <f>$D$3+$D$9</f>
        <v>2</v>
      </c>
      <c r="AM54" s="30">
        <f>$E$14</f>
        <v>3</v>
      </c>
      <c r="AN54" s="30">
        <f t="shared" si="282"/>
        <v>42</v>
      </c>
      <c r="AO54" s="30">
        <f t="shared" si="268"/>
        <v>5292</v>
      </c>
      <c r="AP54" s="31">
        <f t="shared" si="269"/>
        <v>6.8089179841897239E-5</v>
      </c>
      <c r="AQ54" s="33">
        <f t="shared" si="270"/>
        <v>6.8089179841897239E-5</v>
      </c>
      <c r="AR54" s="33">
        <f t="shared" si="283"/>
        <v>3.4044589920948621E-4</v>
      </c>
      <c r="AS54" s="33">
        <f t="shared" si="271"/>
        <v>3.4044589920948619E-5</v>
      </c>
      <c r="AT54" s="36">
        <v>6.8440500000000002E-4</v>
      </c>
      <c r="AU54" s="36">
        <f t="shared" si="272"/>
        <v>-6.5036041007905145E-4</v>
      </c>
      <c r="AV54" s="36">
        <f t="shared" si="273"/>
        <v>-19.103194122448979</v>
      </c>
      <c r="AX54" s="30" t="s">
        <v>263</v>
      </c>
      <c r="AY54" s="30">
        <f t="shared" si="239"/>
        <v>2</v>
      </c>
      <c r="AZ54" s="30">
        <f>$C$3+$C$12</f>
        <v>7</v>
      </c>
      <c r="BA54" s="30">
        <f>$D$3+$D$12</f>
        <v>0</v>
      </c>
      <c r="BB54" s="30">
        <f>$E$14</f>
        <v>3</v>
      </c>
      <c r="BC54" s="30">
        <f t="shared" si="285"/>
        <v>42</v>
      </c>
      <c r="BD54" s="30">
        <f t="shared" si="274"/>
        <v>0</v>
      </c>
      <c r="BE54" s="30">
        <f t="shared" si="275"/>
        <v>0</v>
      </c>
      <c r="BF54" s="33">
        <f t="shared" si="276"/>
        <v>0</v>
      </c>
      <c r="BG54" s="33">
        <f t="shared" si="286"/>
        <v>0</v>
      </c>
      <c r="BH54" s="33">
        <f t="shared" si="277"/>
        <v>0</v>
      </c>
      <c r="BI54" s="36">
        <v>0</v>
      </c>
      <c r="BJ54" s="36">
        <f t="shared" si="278"/>
        <v>0</v>
      </c>
      <c r="BK54" s="36">
        <v>0</v>
      </c>
    </row>
    <row r="55" spans="1:63">
      <c r="A55" s="25" t="s">
        <v>23</v>
      </c>
      <c r="B55" s="25" t="s">
        <v>81</v>
      </c>
      <c r="C55" s="3" t="s">
        <v>80</v>
      </c>
      <c r="H55" t="s">
        <v>58</v>
      </c>
      <c r="R55" s="7">
        <f>BH42</f>
        <v>1.7786561264822136E-4</v>
      </c>
      <c r="T55" s="30" t="s">
        <v>162</v>
      </c>
      <c r="U55" s="30">
        <f t="shared" si="220"/>
        <v>3</v>
      </c>
      <c r="V55" s="30">
        <f>$C$14</f>
        <v>3</v>
      </c>
      <c r="W55" s="30">
        <f>$D$14</f>
        <v>3</v>
      </c>
      <c r="X55" s="30">
        <f>$E$3+$E$6</f>
        <v>28</v>
      </c>
      <c r="Y55" s="30">
        <f t="shared" si="288"/>
        <v>42</v>
      </c>
      <c r="Z55" s="30">
        <f t="shared" si="267"/>
        <v>31752</v>
      </c>
      <c r="AA55" s="31">
        <f t="shared" si="251"/>
        <v>4.085350790513834E-4</v>
      </c>
      <c r="AB55" s="32">
        <f t="shared" si="252"/>
        <v>4.085350790513834E-4</v>
      </c>
      <c r="AC55" s="33">
        <f t="shared" si="280"/>
        <v>4.9024209486166013E-3</v>
      </c>
      <c r="AD55" s="33">
        <f t="shared" si="253"/>
        <v>4.9024209486166009E-4</v>
      </c>
      <c r="AE55" s="7">
        <v>9.8027040000000006E-3</v>
      </c>
      <c r="AF55" s="7">
        <f t="shared" si="228"/>
        <v>-9.3124619051383403E-3</v>
      </c>
      <c r="AG55" s="7">
        <f t="shared" si="229"/>
        <v>-18.995639099017385</v>
      </c>
      <c r="AI55" s="30" t="s">
        <v>213</v>
      </c>
      <c r="AJ55" s="30">
        <f t="shared" si="230"/>
        <v>7</v>
      </c>
      <c r="AK55" s="30">
        <f>$C$14</f>
        <v>3</v>
      </c>
      <c r="AL55" s="30">
        <f>$D$14</f>
        <v>3</v>
      </c>
      <c r="AM55" s="30">
        <f>$E$3+$E$9</f>
        <v>28</v>
      </c>
      <c r="AN55" s="30">
        <f t="shared" si="282"/>
        <v>42</v>
      </c>
      <c r="AO55" s="30">
        <f t="shared" si="268"/>
        <v>74088</v>
      </c>
      <c r="AP55" s="31">
        <f t="shared" si="269"/>
        <v>9.5324851778656131E-4</v>
      </c>
      <c r="AQ55" s="33">
        <f t="shared" si="270"/>
        <v>9.5324851778656131E-4</v>
      </c>
      <c r="AR55" s="33">
        <f t="shared" si="283"/>
        <v>4.7662425889328066E-3</v>
      </c>
      <c r="AS55" s="33">
        <f t="shared" si="271"/>
        <v>4.7662425889328066E-4</v>
      </c>
      <c r="AT55" s="36">
        <v>9.5292450000000004E-3</v>
      </c>
      <c r="AU55" s="36">
        <f t="shared" si="272"/>
        <v>-9.0526207411067202E-3</v>
      </c>
      <c r="AV55" s="36">
        <f t="shared" si="273"/>
        <v>-18.993201819241982</v>
      </c>
      <c r="AX55" s="30" t="s">
        <v>264</v>
      </c>
      <c r="AY55" s="30">
        <f t="shared" si="239"/>
        <v>2</v>
      </c>
      <c r="AZ55" s="30">
        <f>$C$14</f>
        <v>3</v>
      </c>
      <c r="BA55" s="30">
        <f>$D$14</f>
        <v>3</v>
      </c>
      <c r="BB55" s="30">
        <f>$E$3+$E$12</f>
        <v>32</v>
      </c>
      <c r="BC55" s="30">
        <f t="shared" si="285"/>
        <v>42</v>
      </c>
      <c r="BD55" s="30">
        <f t="shared" si="274"/>
        <v>24192</v>
      </c>
      <c r="BE55" s="30">
        <f t="shared" si="275"/>
        <v>3.1126482213438738E-4</v>
      </c>
      <c r="BF55" s="33">
        <f t="shared" si="276"/>
        <v>3.1126482213438738E-4</v>
      </c>
      <c r="BG55" s="33">
        <f t="shared" si="286"/>
        <v>1.5563241106719369E-3</v>
      </c>
      <c r="BH55" s="33">
        <f t="shared" si="277"/>
        <v>1.5563241106719369E-4</v>
      </c>
      <c r="BI55" s="36">
        <v>3.1096499999999998E-3</v>
      </c>
      <c r="BJ55" s="36">
        <f t="shared" si="278"/>
        <v>-2.9540175889328059E-3</v>
      </c>
      <c r="BK55" s="36">
        <f t="shared" si="287"/>
        <v>-18.980735238095235</v>
      </c>
    </row>
    <row r="56" spans="1:63">
      <c r="A56" s="26">
        <v>0.2</v>
      </c>
      <c r="B56" s="26">
        <v>75000</v>
      </c>
      <c r="C56" s="27">
        <f>B56/$B$63</f>
        <v>0.75</v>
      </c>
      <c r="H56" s="8" t="s">
        <v>59</v>
      </c>
      <c r="I56" s="8"/>
      <c r="J56" s="8"/>
      <c r="K56" s="8"/>
      <c r="L56" s="8"/>
      <c r="M56" s="8"/>
      <c r="N56" s="8"/>
      <c r="O56" s="8"/>
      <c r="P56" s="8"/>
      <c r="Q56" s="8"/>
      <c r="R56" s="9">
        <f>BH51</f>
        <v>5.3336524209486157E-3</v>
      </c>
      <c r="T56" s="30" t="s">
        <v>163</v>
      </c>
      <c r="U56" s="30">
        <f t="shared" si="220"/>
        <v>3</v>
      </c>
      <c r="V56" s="30">
        <f>$C$14</f>
        <v>3</v>
      </c>
      <c r="W56" s="30">
        <f>$D$3+$D$6</f>
        <v>0</v>
      </c>
      <c r="X56" s="30">
        <f>$E$14</f>
        <v>3</v>
      </c>
      <c r="Y56" s="30">
        <f t="shared" si="288"/>
        <v>42</v>
      </c>
      <c r="Z56" s="30">
        <f t="shared" si="267"/>
        <v>0</v>
      </c>
      <c r="AA56" s="31">
        <f t="shared" si="251"/>
        <v>0</v>
      </c>
      <c r="AB56" s="32">
        <f t="shared" si="252"/>
        <v>0</v>
      </c>
      <c r="AC56" s="33">
        <f t="shared" si="280"/>
        <v>0</v>
      </c>
      <c r="AD56" s="33">
        <f t="shared" si="253"/>
        <v>0</v>
      </c>
      <c r="AE56" s="7">
        <v>0</v>
      </c>
      <c r="AF56" s="7">
        <f t="shared" si="228"/>
        <v>0</v>
      </c>
      <c r="AG56" s="7">
        <v>0</v>
      </c>
      <c r="AI56" s="30" t="s">
        <v>214</v>
      </c>
      <c r="AJ56" s="30">
        <f t="shared" si="230"/>
        <v>7</v>
      </c>
      <c r="AK56" s="30">
        <f>$C$14</f>
        <v>3</v>
      </c>
      <c r="AL56" s="30">
        <f>$D$3+$D$9</f>
        <v>2</v>
      </c>
      <c r="AM56" s="30">
        <f>$E$14</f>
        <v>3</v>
      </c>
      <c r="AN56" s="30">
        <f t="shared" si="282"/>
        <v>42</v>
      </c>
      <c r="AO56" s="30">
        <f t="shared" si="268"/>
        <v>5292</v>
      </c>
      <c r="AP56" s="31">
        <f t="shared" si="269"/>
        <v>6.8089179841897239E-5</v>
      </c>
      <c r="AQ56" s="33">
        <f t="shared" si="270"/>
        <v>6.8089179841897239E-5</v>
      </c>
      <c r="AR56" s="33">
        <f t="shared" si="283"/>
        <v>3.4044589920948621E-4</v>
      </c>
      <c r="AS56" s="33">
        <f t="shared" si="271"/>
        <v>3.4044589920948619E-5</v>
      </c>
      <c r="AT56" s="36">
        <v>6.8548999999999997E-4</v>
      </c>
      <c r="AU56" s="36">
        <f t="shared" si="272"/>
        <v>-6.514454100790514E-4</v>
      </c>
      <c r="AV56" s="36">
        <f t="shared" si="273"/>
        <v>-19.135064090702947</v>
      </c>
      <c r="AX56" s="30" t="s">
        <v>265</v>
      </c>
      <c r="AY56" s="30">
        <f t="shared" si="239"/>
        <v>2</v>
      </c>
      <c r="AZ56" s="30">
        <f>$C$14</f>
        <v>3</v>
      </c>
      <c r="BA56" s="30">
        <f>$D$3+$D$12</f>
        <v>0</v>
      </c>
      <c r="BB56" s="30">
        <f>$E$14</f>
        <v>3</v>
      </c>
      <c r="BC56" s="30">
        <f t="shared" si="285"/>
        <v>42</v>
      </c>
      <c r="BD56" s="30">
        <f t="shared" si="274"/>
        <v>0</v>
      </c>
      <c r="BE56" s="30">
        <f t="shared" si="275"/>
        <v>0</v>
      </c>
      <c r="BF56" s="33">
        <f t="shared" si="276"/>
        <v>0</v>
      </c>
      <c r="BG56" s="33">
        <f t="shared" si="286"/>
        <v>0</v>
      </c>
      <c r="BH56" s="33">
        <f t="shared" si="277"/>
        <v>0</v>
      </c>
      <c r="BI56" s="36">
        <v>0</v>
      </c>
      <c r="BJ56" s="36">
        <f t="shared" si="278"/>
        <v>0</v>
      </c>
      <c r="BK56" s="36">
        <v>0</v>
      </c>
    </row>
    <row r="57" spans="1:63">
      <c r="A57" s="26">
        <v>0.5</v>
      </c>
      <c r="B57" s="26">
        <v>3000</v>
      </c>
      <c r="C57" s="27">
        <f t="shared" ref="C57:C62" si="289">B57/$B$63</f>
        <v>0.03</v>
      </c>
      <c r="H57" t="s">
        <v>60</v>
      </c>
      <c r="R57" s="7">
        <f>BH59</f>
        <v>5.6740983201581025E-4</v>
      </c>
      <c r="T57" s="30" t="s">
        <v>164</v>
      </c>
      <c r="U57" s="30">
        <f t="shared" si="220"/>
        <v>3</v>
      </c>
      <c r="V57" s="30">
        <f>$C$3+$C$6</f>
        <v>1</v>
      </c>
      <c r="W57" s="30">
        <f>$D$14</f>
        <v>3</v>
      </c>
      <c r="X57" s="30">
        <f>$E$14</f>
        <v>3</v>
      </c>
      <c r="Y57" s="30">
        <f t="shared" si="288"/>
        <v>42</v>
      </c>
      <c r="Z57" s="30">
        <f t="shared" si="267"/>
        <v>1134</v>
      </c>
      <c r="AA57" s="31">
        <f t="shared" si="251"/>
        <v>1.4590538537549407E-5</v>
      </c>
      <c r="AB57" s="32">
        <f t="shared" si="252"/>
        <v>1.4590538537549407E-5</v>
      </c>
      <c r="AC57" s="33">
        <f t="shared" si="280"/>
        <v>1.7508646245059287E-4</v>
      </c>
      <c r="AD57" s="33">
        <f t="shared" si="253"/>
        <v>1.7508646245059286E-5</v>
      </c>
      <c r="AE57" s="7">
        <v>3.5031599999999998E-4</v>
      </c>
      <c r="AF57" s="7">
        <f t="shared" si="228"/>
        <v>-3.3280735375494072E-4</v>
      </c>
      <c r="AG57" s="7">
        <f t="shared" si="229"/>
        <v>-19.008171682539686</v>
      </c>
      <c r="AI57" s="30" t="s">
        <v>215</v>
      </c>
      <c r="AJ57" s="30">
        <f t="shared" si="230"/>
        <v>7</v>
      </c>
      <c r="AK57" s="30">
        <f>$C$3+$C$9</f>
        <v>3</v>
      </c>
      <c r="AL57" s="30">
        <f>$D$14</f>
        <v>3</v>
      </c>
      <c r="AM57" s="30">
        <f>$E$14</f>
        <v>3</v>
      </c>
      <c r="AN57" s="30">
        <f t="shared" si="282"/>
        <v>42</v>
      </c>
      <c r="AO57" s="30">
        <f t="shared" si="268"/>
        <v>7938</v>
      </c>
      <c r="AP57" s="31">
        <f t="shared" si="269"/>
        <v>1.0213376976284585E-4</v>
      </c>
      <c r="AQ57" s="33">
        <f t="shared" si="270"/>
        <v>1.0213376976284585E-4</v>
      </c>
      <c r="AR57" s="33">
        <f t="shared" si="283"/>
        <v>5.1066884881422923E-4</v>
      </c>
      <c r="AS57" s="33">
        <f t="shared" si="271"/>
        <v>5.1066884881422926E-5</v>
      </c>
      <c r="AT57" s="36">
        <v>1.0254400000000001E-3</v>
      </c>
      <c r="AU57" s="36">
        <f t="shared" si="272"/>
        <v>-9.7437311511857716E-4</v>
      </c>
      <c r="AV57" s="36">
        <f t="shared" si="273"/>
        <v>-19.080331948601664</v>
      </c>
      <c r="AX57" s="30" t="s">
        <v>266</v>
      </c>
      <c r="AY57" s="30">
        <f t="shared" si="239"/>
        <v>2</v>
      </c>
      <c r="AZ57" s="30">
        <f>$C$3+$C$12</f>
        <v>7</v>
      </c>
      <c r="BA57" s="30">
        <f>$D$14</f>
        <v>3</v>
      </c>
      <c r="BB57" s="30">
        <f>$E$14</f>
        <v>3</v>
      </c>
      <c r="BC57" s="30">
        <f t="shared" si="285"/>
        <v>42</v>
      </c>
      <c r="BD57" s="30">
        <f t="shared" si="274"/>
        <v>5292</v>
      </c>
      <c r="BE57" s="30">
        <f t="shared" si="275"/>
        <v>6.8089179841897239E-5</v>
      </c>
      <c r="BF57" s="33">
        <f t="shared" si="276"/>
        <v>6.8089179841897239E-5</v>
      </c>
      <c r="BG57" s="33">
        <f t="shared" si="286"/>
        <v>3.4044589920948621E-4</v>
      </c>
      <c r="BH57" s="33">
        <f t="shared" si="277"/>
        <v>3.4044589920948619E-5</v>
      </c>
      <c r="BI57" s="36">
        <v>6.8117500000000001E-4</v>
      </c>
      <c r="BJ57" s="36">
        <f t="shared" si="278"/>
        <v>-6.4713041007905144E-4</v>
      </c>
      <c r="BK57" s="36">
        <f t="shared" si="287"/>
        <v>-19.008318548752836</v>
      </c>
    </row>
    <row r="58" spans="1:63">
      <c r="A58" s="26">
        <v>0.8</v>
      </c>
      <c r="B58" s="26">
        <v>3000</v>
      </c>
      <c r="C58" s="27">
        <f t="shared" si="289"/>
        <v>0.03</v>
      </c>
      <c r="H58" t="s">
        <v>61</v>
      </c>
      <c r="R58" s="7">
        <f>BH63</f>
        <v>1.482213438735178E-4</v>
      </c>
      <c r="T58" s="30" t="s">
        <v>165</v>
      </c>
      <c r="U58" s="30">
        <f t="shared" si="220"/>
        <v>3</v>
      </c>
      <c r="V58" s="30">
        <f>$C$14</f>
        <v>3</v>
      </c>
      <c r="W58" s="30">
        <f>$D$14</f>
        <v>3</v>
      </c>
      <c r="X58" s="30">
        <f>$E$14</f>
        <v>3</v>
      </c>
      <c r="Y58" s="30">
        <f t="shared" si="288"/>
        <v>42</v>
      </c>
      <c r="Z58" s="30">
        <f t="shared" si="267"/>
        <v>3402</v>
      </c>
      <c r="AA58" s="31">
        <f t="shared" si="251"/>
        <v>4.3771615612648218E-5</v>
      </c>
      <c r="AB58" s="32">
        <f t="shared" si="252"/>
        <v>4.3771615612648218E-5</v>
      </c>
      <c r="AC58" s="33">
        <f t="shared" si="280"/>
        <v>5.2525938735177862E-4</v>
      </c>
      <c r="AD58" s="33">
        <f t="shared" si="253"/>
        <v>5.2525938735177864E-5</v>
      </c>
      <c r="AE58" s="7">
        <v>1.0518719999999999E-3</v>
      </c>
      <c r="AF58" s="7">
        <f t="shared" si="228"/>
        <v>-9.9934606126482212E-4</v>
      </c>
      <c r="AG58" s="7">
        <f t="shared" si="229"/>
        <v>-19.025762991181658</v>
      </c>
      <c r="AI58" s="30" t="s">
        <v>216</v>
      </c>
      <c r="AJ58" s="30">
        <f t="shared" si="230"/>
        <v>7</v>
      </c>
      <c r="AK58" s="30">
        <f>$C$14</f>
        <v>3</v>
      </c>
      <c r="AL58" s="30">
        <f>$D$14</f>
        <v>3</v>
      </c>
      <c r="AM58" s="30">
        <f>$E$14</f>
        <v>3</v>
      </c>
      <c r="AN58" s="30">
        <f t="shared" si="282"/>
        <v>42</v>
      </c>
      <c r="AO58" s="30">
        <f t="shared" si="268"/>
        <v>7938</v>
      </c>
      <c r="AP58" s="31">
        <f t="shared" si="269"/>
        <v>1.0213376976284585E-4</v>
      </c>
      <c r="AQ58" s="33">
        <f t="shared" si="270"/>
        <v>1.0213376976284585E-4</v>
      </c>
      <c r="AR58" s="33">
        <f t="shared" si="283"/>
        <v>5.1066884881422923E-4</v>
      </c>
      <c r="AS58" s="33">
        <f t="shared" si="271"/>
        <v>5.1066884881422926E-5</v>
      </c>
      <c r="AT58" s="36">
        <v>1.025195E-3</v>
      </c>
      <c r="AU58" s="36">
        <f t="shared" si="272"/>
        <v>-9.741281151185771E-4</v>
      </c>
      <c r="AV58" s="36">
        <f t="shared" si="273"/>
        <v>-19.075534318972032</v>
      </c>
      <c r="AX58" s="30" t="s">
        <v>267</v>
      </c>
      <c r="AY58" s="30">
        <f t="shared" si="239"/>
        <v>2</v>
      </c>
      <c r="AZ58" s="30">
        <f>$C$14</f>
        <v>3</v>
      </c>
      <c r="BA58" s="30">
        <f>$D$14</f>
        <v>3</v>
      </c>
      <c r="BB58" s="30">
        <f>$E$14</f>
        <v>3</v>
      </c>
      <c r="BC58" s="30">
        <f t="shared" si="285"/>
        <v>42</v>
      </c>
      <c r="BD58" s="30">
        <f t="shared" si="274"/>
        <v>2268</v>
      </c>
      <c r="BE58" s="30">
        <f t="shared" si="275"/>
        <v>2.9181077075098813E-5</v>
      </c>
      <c r="BF58" s="33">
        <f t="shared" si="276"/>
        <v>2.9181077075098813E-5</v>
      </c>
      <c r="BG58" s="33">
        <f t="shared" si="286"/>
        <v>1.4590538537549407E-4</v>
      </c>
      <c r="BH58" s="33">
        <f t="shared" si="277"/>
        <v>1.4590538537549407E-5</v>
      </c>
      <c r="BI58" s="36">
        <v>2.9063E-4</v>
      </c>
      <c r="BJ58" s="36">
        <f t="shared" si="278"/>
        <v>-2.7603946146245061E-4</v>
      </c>
      <c r="BK58" s="36">
        <f t="shared" si="287"/>
        <v>-18.919072846560848</v>
      </c>
    </row>
    <row r="59" spans="1:63">
      <c r="A59" s="26">
        <v>1</v>
      </c>
      <c r="B59" s="26">
        <v>3000</v>
      </c>
      <c r="C59" s="27">
        <f t="shared" si="289"/>
        <v>0.03</v>
      </c>
      <c r="R59" s="7">
        <f>SUM(R32:R58)</f>
        <v>0.11015146368577074</v>
      </c>
      <c r="U59">
        <f t="shared" si="220"/>
        <v>3</v>
      </c>
      <c r="AA59" s="15"/>
      <c r="AB59" s="10"/>
      <c r="AC59" s="7"/>
      <c r="AD59" s="7">
        <f>SUM(AD52:AD58)</f>
        <v>7.2369071146245062E-4</v>
      </c>
      <c r="AE59" s="7">
        <f t="shared" ref="AE59:AG59" si="290">SUM(AE52:AE58)</f>
        <v>1.4474424000000001E-2</v>
      </c>
      <c r="AF59" s="7">
        <f t="shared" si="290"/>
        <v>-1.3750733288537549E-2</v>
      </c>
      <c r="AG59" s="7">
        <f t="shared" si="290"/>
        <v>-76.037231423532376</v>
      </c>
      <c r="AP59" s="15"/>
      <c r="AQ59" s="7"/>
      <c r="AR59" s="7"/>
      <c r="AS59" s="7">
        <f>SUM(AS52:AS58)</f>
        <v>1.4412209733201582E-3</v>
      </c>
      <c r="AT59" s="36">
        <f t="shared" ref="AT59:AV59" si="291">SUM(AT52:AT58)</f>
        <v>2.8841314999999999E-2</v>
      </c>
      <c r="AU59" s="36">
        <f t="shared" si="291"/>
        <v>-2.7400094026679842E-2</v>
      </c>
      <c r="AV59" s="36">
        <f t="shared" si="291"/>
        <v>-133.39968854162618</v>
      </c>
      <c r="BF59" s="7"/>
      <c r="BG59" s="7"/>
      <c r="BH59" s="7">
        <f>SUM(BH52:BH58)</f>
        <v>5.6740983201581025E-4</v>
      </c>
      <c r="BI59" s="7">
        <f t="shared" ref="BI59:BK59" si="292">SUM(BI52:BI58)</f>
        <v>1.1327114999999999E-2</v>
      </c>
      <c r="BJ59" s="7">
        <f t="shared" si="292"/>
        <v>-1.0759705167984189E-2</v>
      </c>
      <c r="BK59" s="7">
        <f t="shared" si="292"/>
        <v>-75.860801245653832</v>
      </c>
    </row>
    <row r="60" spans="1:63">
      <c r="A60" s="26">
        <v>1.2</v>
      </c>
      <c r="B60" s="26">
        <v>3000</v>
      </c>
      <c r="C60" s="27">
        <f t="shared" si="289"/>
        <v>0.03</v>
      </c>
      <c r="T60" s="30" t="s">
        <v>166</v>
      </c>
      <c r="U60" s="30">
        <f t="shared" si="220"/>
        <v>3</v>
      </c>
      <c r="V60" s="30">
        <f>$C$14</f>
        <v>3</v>
      </c>
      <c r="W60" s="30">
        <f>$D$3+$D$6</f>
        <v>0</v>
      </c>
      <c r="X60" s="30">
        <f>$E$18-$E$3-$E$6-$E$14</f>
        <v>24</v>
      </c>
      <c r="Y60" s="30">
        <f>$F$18</f>
        <v>48</v>
      </c>
      <c r="Z60" s="30">
        <f t="shared" ref="Z60:Z62" si="293">PRODUCT(U60:Y60)</f>
        <v>0</v>
      </c>
      <c r="AA60" s="31">
        <f t="shared" si="251"/>
        <v>0</v>
      </c>
      <c r="AB60" s="32">
        <f t="shared" si="252"/>
        <v>0</v>
      </c>
      <c r="AC60" s="33">
        <f>AB60*$D$27</f>
        <v>0</v>
      </c>
      <c r="AD60" s="33">
        <f t="shared" si="253"/>
        <v>0</v>
      </c>
      <c r="AE60" s="7">
        <v>0</v>
      </c>
      <c r="AF60" s="7">
        <f t="shared" si="228"/>
        <v>0</v>
      </c>
      <c r="AG60" s="7">
        <v>0</v>
      </c>
      <c r="AI60" s="30" t="s">
        <v>217</v>
      </c>
      <c r="AJ60" s="30">
        <f t="shared" ref="AJ60:AJ62" si="294">$B$3+$B$9</f>
        <v>7</v>
      </c>
      <c r="AK60" s="30">
        <f>$C$14</f>
        <v>3</v>
      </c>
      <c r="AL60" s="30">
        <f>$D$3+$D$9</f>
        <v>2</v>
      </c>
      <c r="AM60" s="30">
        <f>$E$18-$E$3-$E$9-$E$14</f>
        <v>24</v>
      </c>
      <c r="AN60" s="30">
        <f>$F$18</f>
        <v>48</v>
      </c>
      <c r="AO60" s="30">
        <f t="shared" ref="AO60:AO62" si="295">PRODUCT(AJ60:AN60)</f>
        <v>48384</v>
      </c>
      <c r="AP60" s="31">
        <f t="shared" ref="AP60:AP62" si="296">AO60/$B$19</f>
        <v>6.2252964426877475E-4</v>
      </c>
      <c r="AQ60" s="33">
        <f t="shared" ref="AQ60:AQ62" si="297">AP60*$A$22</f>
        <v>6.2252964426877475E-4</v>
      </c>
      <c r="AR60" s="33">
        <f>AQ60*$D$30</f>
        <v>1.2450592885375495E-3</v>
      </c>
      <c r="AS60" s="33">
        <f t="shared" ref="AS60:AS62" si="298">AR60/$B$22</f>
        <v>1.2450592885375494E-4</v>
      </c>
      <c r="AT60" s="36">
        <v>2.4899840000000002E-3</v>
      </c>
      <c r="AU60" s="36">
        <f t="shared" ref="AU60:AU62" si="299">AS60-AT60</f>
        <v>-2.3654780711462454E-3</v>
      </c>
      <c r="AV60" s="36">
        <f t="shared" ref="AV60:AV62" si="300">AU60/AS60</f>
        <v>-18.998919111111114</v>
      </c>
      <c r="AX60" s="30" t="s">
        <v>268</v>
      </c>
      <c r="AY60" s="30">
        <f t="shared" si="239"/>
        <v>2</v>
      </c>
      <c r="AZ60" s="30">
        <f>$C$14</f>
        <v>3</v>
      </c>
      <c r="BA60" s="30">
        <f>$D$3+$D$12</f>
        <v>0</v>
      </c>
      <c r="BB60" s="30">
        <f>$E$18-$E$3-$E$12-$E$14</f>
        <v>20</v>
      </c>
      <c r="BC60" s="30">
        <f>$F$18</f>
        <v>48</v>
      </c>
      <c r="BD60" s="30">
        <f t="shared" ref="BD60:BD62" si="301">PRODUCT(AY60:BC60)</f>
        <v>0</v>
      </c>
      <c r="BE60" s="30">
        <f t="shared" ref="BE60:BE62" si="302">BD60/$B$19</f>
        <v>0</v>
      </c>
      <c r="BF60" s="33">
        <f t="shared" ref="BF60:BF62" si="303">BE60*$A$22</f>
        <v>0</v>
      </c>
      <c r="BG60" s="33">
        <f>BF60*$D$33</f>
        <v>0</v>
      </c>
      <c r="BH60" s="33">
        <f t="shared" ref="BH60:BH62" si="304">BG60/$B$22</f>
        <v>0</v>
      </c>
      <c r="BI60" s="36">
        <v>0</v>
      </c>
      <c r="BJ60" s="36">
        <f t="shared" ref="BJ60:BJ62" si="305">BH60-BI60</f>
        <v>0</v>
      </c>
      <c r="BK60" s="36">
        <v>0</v>
      </c>
    </row>
    <row r="61" spans="1:63">
      <c r="A61" s="26">
        <v>1.5</v>
      </c>
      <c r="B61" s="26">
        <v>3000</v>
      </c>
      <c r="C61" s="27">
        <f t="shared" si="289"/>
        <v>0.03</v>
      </c>
      <c r="H61" s="3" t="s">
        <v>110</v>
      </c>
      <c r="I61" s="3"/>
      <c r="J61" s="3" t="s">
        <v>80</v>
      </c>
      <c r="K61" s="3" t="s">
        <v>111</v>
      </c>
      <c r="L61" s="3" t="s">
        <v>82</v>
      </c>
      <c r="T61" s="30" t="s">
        <v>167</v>
      </c>
      <c r="U61" s="30">
        <f t="shared" si="220"/>
        <v>3</v>
      </c>
      <c r="V61" s="30">
        <f>$C$3+$C$6</f>
        <v>1</v>
      </c>
      <c r="W61" s="30">
        <f t="shared" ref="W61" si="306">$D$14</f>
        <v>3</v>
      </c>
      <c r="X61" s="30">
        <f t="shared" ref="X61:X62" si="307">$E$18-$E$3-$E$6-$E$14</f>
        <v>24</v>
      </c>
      <c r="Y61" s="30">
        <f t="shared" ref="Y61:Y62" si="308">$F$18</f>
        <v>48</v>
      </c>
      <c r="Z61" s="30">
        <f t="shared" si="293"/>
        <v>10368</v>
      </c>
      <c r="AA61" s="31">
        <f t="shared" si="251"/>
        <v>1.3339920948616602E-4</v>
      </c>
      <c r="AB61" s="32">
        <f t="shared" si="252"/>
        <v>1.3339920948616602E-4</v>
      </c>
      <c r="AC61" s="33">
        <f t="shared" ref="AC61:AC62" si="309">AB61*$D$27</f>
        <v>2.6679841897233204E-4</v>
      </c>
      <c r="AD61" s="33">
        <f t="shared" si="253"/>
        <v>2.6679841897233202E-5</v>
      </c>
      <c r="AE61" s="7">
        <v>5.3279599999999999E-4</v>
      </c>
      <c r="AF61" s="7">
        <f t="shared" si="228"/>
        <v>-5.061161581027668E-4</v>
      </c>
      <c r="AG61" s="7">
        <f t="shared" si="229"/>
        <v>-18.969983407407408</v>
      </c>
      <c r="AI61" s="30" t="s">
        <v>218</v>
      </c>
      <c r="AJ61" s="30">
        <f t="shared" si="294"/>
        <v>7</v>
      </c>
      <c r="AK61" s="30">
        <f>$C$3+$C$9</f>
        <v>3</v>
      </c>
      <c r="AL61" s="30">
        <f t="shared" ref="AL61" si="310">$D$14</f>
        <v>3</v>
      </c>
      <c r="AM61" s="30">
        <f t="shared" ref="AM61:AM62" si="311">$E$18-$E$3-$E$9-$E$14</f>
        <v>24</v>
      </c>
      <c r="AN61" s="30">
        <f t="shared" ref="AN61:AN62" si="312">$F$18</f>
        <v>48</v>
      </c>
      <c r="AO61" s="30">
        <f t="shared" si="295"/>
        <v>72576</v>
      </c>
      <c r="AP61" s="31">
        <f t="shared" si="296"/>
        <v>9.3379446640316202E-4</v>
      </c>
      <c r="AQ61" s="33">
        <f t="shared" si="297"/>
        <v>9.3379446640316202E-4</v>
      </c>
      <c r="AR61" s="33">
        <f t="shared" ref="AR61:AR62" si="313">AQ61*$D$30</f>
        <v>1.867588932806324E-3</v>
      </c>
      <c r="AS61" s="33">
        <f t="shared" si="298"/>
        <v>1.8675889328063241E-4</v>
      </c>
      <c r="AT61" s="36">
        <v>3.7355399999999999E-3</v>
      </c>
      <c r="AU61" s="36">
        <f t="shared" si="299"/>
        <v>-3.5487811067193673E-3</v>
      </c>
      <c r="AV61" s="36">
        <f t="shared" si="300"/>
        <v>-19.001939047619047</v>
      </c>
      <c r="AX61" s="30" t="s">
        <v>269</v>
      </c>
      <c r="AY61" s="30">
        <f t="shared" si="239"/>
        <v>2</v>
      </c>
      <c r="AZ61" s="30">
        <f>$C$3+$C$12</f>
        <v>7</v>
      </c>
      <c r="BA61" s="30">
        <f t="shared" ref="BA61" si="314">$D$14</f>
        <v>3</v>
      </c>
      <c r="BB61" s="30">
        <f t="shared" ref="BB61:BB62" si="315">$E$18-$E$3-$E$12-$E$14</f>
        <v>20</v>
      </c>
      <c r="BC61" s="30">
        <f t="shared" ref="BC61:BC62" si="316">$F$18</f>
        <v>48</v>
      </c>
      <c r="BD61" s="30">
        <f t="shared" si="301"/>
        <v>40320</v>
      </c>
      <c r="BE61" s="30">
        <f t="shared" si="302"/>
        <v>5.1877470355731229E-4</v>
      </c>
      <c r="BF61" s="33">
        <f t="shared" si="303"/>
        <v>5.1877470355731229E-4</v>
      </c>
      <c r="BG61" s="33">
        <f t="shared" ref="BG61:BG62" si="317">BF61*$D$33</f>
        <v>1.0375494071146246E-3</v>
      </c>
      <c r="BH61" s="33">
        <f t="shared" si="304"/>
        <v>1.0375494071146246E-4</v>
      </c>
      <c r="BI61" s="36">
        <v>2.0760119999999999E-3</v>
      </c>
      <c r="BJ61" s="36">
        <f t="shared" si="305"/>
        <v>-1.9722570592885375E-3</v>
      </c>
      <c r="BK61" s="36">
        <f t="shared" ref="BK61:BK62" si="318">BJ61/BH61</f>
        <v>-19.008801371428568</v>
      </c>
    </row>
    <row r="62" spans="1:63">
      <c r="A62" s="26">
        <v>2</v>
      </c>
      <c r="B62" s="26">
        <v>10000</v>
      </c>
      <c r="C62" s="27">
        <f t="shared" si="289"/>
        <v>0.1</v>
      </c>
      <c r="H62" s="8" t="s">
        <v>24</v>
      </c>
      <c r="I62" s="8"/>
      <c r="J62" s="8">
        <f>$C$14*3/C18</f>
        <v>0.22500000000000001</v>
      </c>
      <c r="K62" s="8">
        <v>0.2</v>
      </c>
      <c r="L62" s="8">
        <f>J62*K62*$A$47</f>
        <v>9.0000000000000011E-2</v>
      </c>
      <c r="M62" s="8"/>
      <c r="N62" s="8"/>
      <c r="O62" s="8"/>
      <c r="P62" s="8"/>
      <c r="Q62" s="8"/>
      <c r="R62" s="9"/>
      <c r="T62" s="30" t="s">
        <v>168</v>
      </c>
      <c r="U62" s="30">
        <f t="shared" si="220"/>
        <v>3</v>
      </c>
      <c r="V62" s="30">
        <f>$C$14</f>
        <v>3</v>
      </c>
      <c r="W62" s="30">
        <f>$D$14</f>
        <v>3</v>
      </c>
      <c r="X62" s="30">
        <f t="shared" si="307"/>
        <v>24</v>
      </c>
      <c r="Y62" s="30">
        <f t="shared" si="308"/>
        <v>48</v>
      </c>
      <c r="Z62" s="30">
        <f t="shared" si="293"/>
        <v>31104</v>
      </c>
      <c r="AA62" s="31">
        <f t="shared" si="251"/>
        <v>4.00197628458498E-4</v>
      </c>
      <c r="AB62" s="32">
        <f t="shared" si="252"/>
        <v>4.00197628458498E-4</v>
      </c>
      <c r="AC62" s="33">
        <f t="shared" si="309"/>
        <v>8.00395256916996E-4</v>
      </c>
      <c r="AD62" s="33">
        <f t="shared" si="253"/>
        <v>8.00395256916996E-5</v>
      </c>
      <c r="AE62" s="7">
        <v>1.6036780000000001E-3</v>
      </c>
      <c r="AF62" s="7">
        <f t="shared" si="228"/>
        <v>-1.5236384743083004E-3</v>
      </c>
      <c r="AG62" s="7">
        <f t="shared" si="229"/>
        <v>-19.036075753086422</v>
      </c>
      <c r="AI62" s="30" t="s">
        <v>219</v>
      </c>
      <c r="AJ62" s="30">
        <f t="shared" si="294"/>
        <v>7</v>
      </c>
      <c r="AK62" s="30">
        <f>$C$14</f>
        <v>3</v>
      </c>
      <c r="AL62" s="30">
        <f>$D$14</f>
        <v>3</v>
      </c>
      <c r="AM62" s="30">
        <f t="shared" si="311"/>
        <v>24</v>
      </c>
      <c r="AN62" s="30">
        <f t="shared" si="312"/>
        <v>48</v>
      </c>
      <c r="AO62" s="30">
        <f t="shared" si="295"/>
        <v>72576</v>
      </c>
      <c r="AP62" s="31">
        <f t="shared" si="296"/>
        <v>9.3379446640316202E-4</v>
      </c>
      <c r="AQ62" s="33">
        <f t="shared" si="297"/>
        <v>9.3379446640316202E-4</v>
      </c>
      <c r="AR62" s="33">
        <f t="shared" si="313"/>
        <v>1.867588932806324E-3</v>
      </c>
      <c r="AS62" s="33">
        <f t="shared" si="298"/>
        <v>1.8675889328063241E-4</v>
      </c>
      <c r="AT62" s="36">
        <v>3.7300139999999998E-3</v>
      </c>
      <c r="AU62" s="36">
        <f t="shared" si="299"/>
        <v>-3.5432551067193672E-3</v>
      </c>
      <c r="AV62" s="36">
        <f t="shared" si="300"/>
        <v>-18.972350095238092</v>
      </c>
      <c r="AX62" s="30" t="s">
        <v>270</v>
      </c>
      <c r="AY62" s="30">
        <f t="shared" si="239"/>
        <v>2</v>
      </c>
      <c r="AZ62" s="30">
        <f>$C$14</f>
        <v>3</v>
      </c>
      <c r="BA62" s="30">
        <f>$D$14</f>
        <v>3</v>
      </c>
      <c r="BB62" s="30">
        <f t="shared" si="315"/>
        <v>20</v>
      </c>
      <c r="BC62" s="30">
        <f t="shared" si="316"/>
        <v>48</v>
      </c>
      <c r="BD62" s="30">
        <f t="shared" si="301"/>
        <v>17280</v>
      </c>
      <c r="BE62" s="30">
        <f t="shared" si="302"/>
        <v>2.2233201581027667E-4</v>
      </c>
      <c r="BF62" s="33">
        <f t="shared" si="303"/>
        <v>2.2233201581027667E-4</v>
      </c>
      <c r="BG62" s="33">
        <f t="shared" si="317"/>
        <v>4.4466403162055334E-4</v>
      </c>
      <c r="BH62" s="33">
        <f t="shared" si="304"/>
        <v>4.4466403162055333E-5</v>
      </c>
      <c r="BI62" s="36">
        <v>8.8871800000000004E-4</v>
      </c>
      <c r="BJ62" s="36">
        <f t="shared" si="305"/>
        <v>-8.442515968379447E-4</v>
      </c>
      <c r="BK62" s="36">
        <f t="shared" si="318"/>
        <v>-18.986280355555557</v>
      </c>
    </row>
    <row r="63" spans="1:63">
      <c r="A63" s="27"/>
      <c r="B63" s="28">
        <f>SUM(B56:B62)</f>
        <v>100000</v>
      </c>
      <c r="C63" s="28">
        <f>SUM(C56:C62)</f>
        <v>1.0000000000000002</v>
      </c>
      <c r="H63" t="s">
        <v>25</v>
      </c>
      <c r="J63">
        <f>D14*3/D18</f>
        <v>0.39130434782608697</v>
      </c>
      <c r="K63" s="8">
        <v>0.2</v>
      </c>
      <c r="L63" s="8">
        <f t="shared" ref="L63:L64" si="319">J63*K63*$A$47</f>
        <v>0.15652173913043479</v>
      </c>
      <c r="AD63" s="7">
        <f>SUM(AD60:AD62)</f>
        <v>1.0671936758893281E-4</v>
      </c>
      <c r="AE63" s="7">
        <f t="shared" ref="AE63:AG63" si="320">SUM(AE60:AE62)</f>
        <v>2.1364740000000002E-3</v>
      </c>
      <c r="AF63" s="7">
        <f t="shared" si="320"/>
        <v>-2.029754632411067E-3</v>
      </c>
      <c r="AG63" s="7">
        <f t="shared" si="320"/>
        <v>-38.006059160493834</v>
      </c>
      <c r="AS63" s="7">
        <f>SUM(AS60:AS62)</f>
        <v>4.9802371541501976E-4</v>
      </c>
      <c r="AT63" s="36">
        <f t="shared" ref="AT63:AV63" si="321">SUM(AT60:AT62)</f>
        <v>9.9555379999999999E-3</v>
      </c>
      <c r="AU63" s="36">
        <f t="shared" si="321"/>
        <v>-9.4575142845849808E-3</v>
      </c>
      <c r="AV63" s="36">
        <f t="shared" si="321"/>
        <v>-56.973208253968252</v>
      </c>
      <c r="BH63" s="7">
        <f>SUM(BH60:BH62)</f>
        <v>1.482213438735178E-4</v>
      </c>
      <c r="BI63" s="7">
        <f t="shared" ref="BI63:BK63" si="322">SUM(BI60:BI62)</f>
        <v>2.9647300000000001E-3</v>
      </c>
      <c r="BJ63" s="7">
        <f t="shared" si="322"/>
        <v>-2.8165086561264823E-3</v>
      </c>
      <c r="BK63" s="7">
        <f t="shared" si="322"/>
        <v>-37.995081726984125</v>
      </c>
    </row>
    <row r="64" spans="1:63">
      <c r="H64" t="s">
        <v>26</v>
      </c>
      <c r="J64">
        <f>$E$14*3/E18</f>
        <v>0.16363636363636364</v>
      </c>
      <c r="K64" s="8">
        <v>0.2</v>
      </c>
      <c r="L64" s="8">
        <f t="shared" si="319"/>
        <v>6.545454545454546E-2</v>
      </c>
    </row>
    <row r="65" spans="1:12">
      <c r="A65">
        <f>SUMPRODUCT(A56:A62,C56:C62)</f>
        <v>0.5</v>
      </c>
      <c r="H65" t="s">
        <v>22</v>
      </c>
      <c r="L65">
        <f>SUM(L62:L64)</f>
        <v>0.31197628458498028</v>
      </c>
    </row>
  </sheetData>
  <mergeCells count="2">
    <mergeCell ref="B19:F19"/>
    <mergeCell ref="A1:F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5E94E-AE5E-4BC3-A6D3-EEE70DB41EBE}">
  <dimension ref="A1:X65"/>
  <sheetViews>
    <sheetView workbookViewId="0">
      <selection activeCell="F13" sqref="F13:F14"/>
    </sheetView>
  </sheetViews>
  <sheetFormatPr defaultRowHeight="14.5"/>
  <cols>
    <col min="2" max="2" width="9.453125" bestFit="1" customWidth="1"/>
    <col min="8" max="8" width="12.6328125" customWidth="1"/>
    <col min="18" max="18" width="11.453125" customWidth="1"/>
    <col min="19" max="19" width="13.54296875" customWidth="1"/>
    <col min="20" max="20" width="10.36328125" customWidth="1"/>
    <col min="21" max="21" width="9.6328125" customWidth="1"/>
    <col min="22" max="22" width="9.90625" customWidth="1"/>
    <col min="23" max="23" width="11.7265625" customWidth="1"/>
    <col min="24" max="24" width="9.81640625" bestFit="1" customWidth="1"/>
  </cols>
  <sheetData>
    <row r="1" spans="1:24">
      <c r="A1" s="53" t="s">
        <v>13</v>
      </c>
      <c r="B1" s="53" t="s">
        <v>13</v>
      </c>
      <c r="C1" s="53" t="s">
        <v>13</v>
      </c>
      <c r="D1" s="53" t="s">
        <v>13</v>
      </c>
      <c r="E1" s="53" t="s">
        <v>13</v>
      </c>
      <c r="F1" s="53" t="s">
        <v>13</v>
      </c>
      <c r="H1" s="3" t="s">
        <v>84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31</v>
      </c>
      <c r="O1" s="3" t="s">
        <v>62</v>
      </c>
      <c r="P1" s="3" t="s">
        <v>63</v>
      </c>
      <c r="Q1" s="3" t="s">
        <v>32</v>
      </c>
      <c r="R1" s="3" t="s">
        <v>35</v>
      </c>
    </row>
    <row r="2" spans="1:24">
      <c r="A2" s="1" t="s">
        <v>0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H2" t="s">
        <v>275</v>
      </c>
      <c r="I2">
        <f>$B$18</f>
        <v>32</v>
      </c>
      <c r="J2">
        <f>$C$13*3</f>
        <v>12</v>
      </c>
      <c r="K2">
        <f>$D$13*3</f>
        <v>0</v>
      </c>
      <c r="L2">
        <f>$E$13*3</f>
        <v>12</v>
      </c>
      <c r="M2">
        <f>$F$18</f>
        <v>48</v>
      </c>
      <c r="N2">
        <f>PRODUCT(I2:M2)</f>
        <v>0</v>
      </c>
      <c r="O2" s="7">
        <f>N2/$B$19</f>
        <v>0</v>
      </c>
      <c r="P2" s="7">
        <f>O2</f>
        <v>0</v>
      </c>
      <c r="Q2" s="7">
        <f>P2*C3</f>
        <v>0</v>
      </c>
      <c r="R2" s="7">
        <f>Q2</f>
        <v>0</v>
      </c>
    </row>
    <row r="3" spans="1:24">
      <c r="A3" t="s">
        <v>19</v>
      </c>
      <c r="B3">
        <v>0</v>
      </c>
      <c r="C3" s="8">
        <v>1</v>
      </c>
      <c r="D3" s="8">
        <v>0</v>
      </c>
      <c r="E3" s="8">
        <v>28</v>
      </c>
      <c r="F3">
        <v>0</v>
      </c>
    </row>
    <row r="4" spans="1:24">
      <c r="A4" s="17" t="s">
        <v>4</v>
      </c>
      <c r="B4" s="17">
        <v>2</v>
      </c>
      <c r="C4" s="8">
        <v>0</v>
      </c>
      <c r="D4" s="8">
        <v>6</v>
      </c>
      <c r="E4" s="8">
        <v>4</v>
      </c>
      <c r="F4" s="17">
        <v>3</v>
      </c>
      <c r="H4" s="3" t="s">
        <v>272</v>
      </c>
      <c r="I4" s="3" t="s">
        <v>24</v>
      </c>
      <c r="J4" s="3" t="s">
        <v>25</v>
      </c>
      <c r="K4" s="3" t="s">
        <v>26</v>
      </c>
      <c r="L4" s="3" t="s">
        <v>27</v>
      </c>
      <c r="M4" s="3" t="s">
        <v>28</v>
      </c>
      <c r="N4" s="3" t="s">
        <v>31</v>
      </c>
      <c r="O4" s="3" t="s">
        <v>62</v>
      </c>
      <c r="P4" s="3" t="s">
        <v>63</v>
      </c>
      <c r="Q4" s="3" t="s">
        <v>32</v>
      </c>
      <c r="R4" s="3" t="s">
        <v>35</v>
      </c>
      <c r="S4" s="3" t="s">
        <v>274</v>
      </c>
      <c r="T4" s="3" t="s">
        <v>35</v>
      </c>
    </row>
    <row r="5" spans="1:24">
      <c r="A5" t="s">
        <v>5</v>
      </c>
      <c r="B5">
        <v>3</v>
      </c>
      <c r="C5" s="8">
        <v>0</v>
      </c>
      <c r="D5" s="8">
        <v>4</v>
      </c>
      <c r="E5" s="8">
        <v>4</v>
      </c>
      <c r="F5">
        <v>4</v>
      </c>
      <c r="H5" s="30" t="s">
        <v>273</v>
      </c>
      <c r="I5" s="30">
        <f>$B$18</f>
        <v>32</v>
      </c>
      <c r="J5" s="30">
        <f>$C$14*3</f>
        <v>9</v>
      </c>
      <c r="K5" s="30">
        <f>$D$14*3</f>
        <v>9</v>
      </c>
      <c r="L5" s="30">
        <f>$E$14*3</f>
        <v>9</v>
      </c>
      <c r="M5" s="30">
        <f>$F$18</f>
        <v>48</v>
      </c>
      <c r="N5" s="30">
        <f>PRODUCT(I5:M5)</f>
        <v>1119744</v>
      </c>
      <c r="O5" s="33">
        <f>N5/$B$19</f>
        <v>1.4407114624505928E-2</v>
      </c>
      <c r="P5" s="33">
        <f>O5</f>
        <v>1.4407114624505928E-2</v>
      </c>
      <c r="Q5" s="33">
        <f>P5*$D$34</f>
        <v>1.4407114624505928E-2</v>
      </c>
      <c r="R5" s="33">
        <f>Q5</f>
        <v>1.4407114624505928E-2</v>
      </c>
      <c r="S5" s="33">
        <v>0.75</v>
      </c>
      <c r="T5" s="7">
        <f>R5*S5</f>
        <v>1.0805335968379445E-2</v>
      </c>
      <c r="U5" s="7">
        <v>1.0874999999999999E-2</v>
      </c>
      <c r="V5" s="7">
        <f>T5-U5</f>
        <v>-6.9664031620553929E-5</v>
      </c>
      <c r="W5" s="7">
        <f>V5/T5</f>
        <v>-6.4471879286694634E-3</v>
      </c>
    </row>
    <row r="6" spans="1:24">
      <c r="A6" s="17" t="s">
        <v>6</v>
      </c>
      <c r="B6" s="17">
        <v>3</v>
      </c>
      <c r="C6" s="8">
        <v>0</v>
      </c>
      <c r="D6" s="8">
        <v>0</v>
      </c>
      <c r="E6" s="8">
        <v>0</v>
      </c>
      <c r="F6" s="17">
        <v>6</v>
      </c>
      <c r="H6" s="30" t="s">
        <v>276</v>
      </c>
      <c r="I6" s="30">
        <f t="shared" ref="I6:I8" si="0">$B$18</f>
        <v>32</v>
      </c>
      <c r="J6" s="30">
        <f>$C$14*3</f>
        <v>9</v>
      </c>
      <c r="K6" s="30">
        <f t="shared" ref="K6:K8" si="1">$D$14*3</f>
        <v>9</v>
      </c>
      <c r="L6" s="30">
        <f>$E$13*3</f>
        <v>12</v>
      </c>
      <c r="M6" s="30">
        <f t="shared" ref="M6:M8" si="2">$F$18</f>
        <v>48</v>
      </c>
      <c r="N6" s="30">
        <f t="shared" ref="N6:N8" si="3">PRODUCT(I6:M6)</f>
        <v>1492992</v>
      </c>
      <c r="O6" s="33">
        <f t="shared" ref="O6:O8" si="4">N6/$B$19</f>
        <v>1.9209486166007907E-2</v>
      </c>
      <c r="P6" s="33">
        <f t="shared" ref="P6:P8" si="5">O6</f>
        <v>1.9209486166007907E-2</v>
      </c>
      <c r="Q6" s="33">
        <f t="shared" ref="Q6:Q8" si="6">P6*$D$34</f>
        <v>1.9209486166007907E-2</v>
      </c>
      <c r="R6" s="33">
        <f t="shared" ref="R6:R8" si="7">Q6</f>
        <v>1.9209486166007907E-2</v>
      </c>
      <c r="S6" s="33">
        <v>0.75</v>
      </c>
      <c r="T6" s="7">
        <f t="shared" ref="T6:T8" si="8">R6*S6</f>
        <v>1.440711462450593E-2</v>
      </c>
      <c r="U6" s="7">
        <v>1.43979E-2</v>
      </c>
      <c r="V6" s="7">
        <f t="shared" ref="V6:V8" si="9">T6-U6</f>
        <v>9.2146245059300524E-6</v>
      </c>
      <c r="W6" s="7">
        <f t="shared" ref="W6:W8" si="10">V6/T6</f>
        <v>6.3958847736633826E-4</v>
      </c>
    </row>
    <row r="7" spans="1:24">
      <c r="A7" t="s">
        <v>7</v>
      </c>
      <c r="B7">
        <v>2</v>
      </c>
      <c r="C7" s="8">
        <v>8</v>
      </c>
      <c r="D7" s="8">
        <v>2</v>
      </c>
      <c r="E7" s="8">
        <v>0</v>
      </c>
      <c r="F7">
        <v>6</v>
      </c>
      <c r="H7" s="30" t="s">
        <v>277</v>
      </c>
      <c r="I7" s="30">
        <f t="shared" si="0"/>
        <v>32</v>
      </c>
      <c r="J7" s="30">
        <f>$C$13*3</f>
        <v>12</v>
      </c>
      <c r="K7" s="30">
        <f t="shared" si="1"/>
        <v>9</v>
      </c>
      <c r="L7" s="30">
        <f>$E$14*3</f>
        <v>9</v>
      </c>
      <c r="M7" s="30">
        <f t="shared" si="2"/>
        <v>48</v>
      </c>
      <c r="N7" s="30">
        <f t="shared" si="3"/>
        <v>1492992</v>
      </c>
      <c r="O7" s="33">
        <f t="shared" si="4"/>
        <v>1.9209486166007907E-2</v>
      </c>
      <c r="P7" s="33">
        <f t="shared" si="5"/>
        <v>1.9209486166007907E-2</v>
      </c>
      <c r="Q7" s="33">
        <f t="shared" si="6"/>
        <v>1.9209486166007907E-2</v>
      </c>
      <c r="R7" s="33">
        <f t="shared" si="7"/>
        <v>1.9209486166007907E-2</v>
      </c>
      <c r="S7" s="33">
        <v>0.75</v>
      </c>
      <c r="T7" s="7">
        <f t="shared" si="8"/>
        <v>1.440711462450593E-2</v>
      </c>
      <c r="U7" s="7">
        <v>1.4382199999999999E-2</v>
      </c>
      <c r="V7" s="7">
        <f t="shared" si="9"/>
        <v>2.4914624505930488E-5</v>
      </c>
      <c r="W7" s="7">
        <f t="shared" si="10"/>
        <v>1.7293278463649967E-3</v>
      </c>
    </row>
    <row r="8" spans="1:24">
      <c r="A8" s="17" t="s">
        <v>8</v>
      </c>
      <c r="B8" s="17">
        <v>4</v>
      </c>
      <c r="C8" s="8">
        <v>8</v>
      </c>
      <c r="D8" s="8">
        <v>4</v>
      </c>
      <c r="E8" s="8">
        <v>6</v>
      </c>
      <c r="F8" s="17">
        <v>5</v>
      </c>
      <c r="H8" s="30" t="s">
        <v>86</v>
      </c>
      <c r="I8" s="30">
        <f t="shared" si="0"/>
        <v>32</v>
      </c>
      <c r="J8" s="30">
        <f>$C$13*3</f>
        <v>12</v>
      </c>
      <c r="K8" s="30">
        <f t="shared" si="1"/>
        <v>9</v>
      </c>
      <c r="L8" s="30">
        <f>$E$13*3</f>
        <v>12</v>
      </c>
      <c r="M8" s="30">
        <f t="shared" si="2"/>
        <v>48</v>
      </c>
      <c r="N8" s="30">
        <f t="shared" si="3"/>
        <v>1990656</v>
      </c>
      <c r="O8" s="33">
        <f t="shared" si="4"/>
        <v>2.5612648221343872E-2</v>
      </c>
      <c r="P8" s="33">
        <f t="shared" si="5"/>
        <v>2.5612648221343872E-2</v>
      </c>
      <c r="Q8" s="33">
        <f t="shared" si="6"/>
        <v>2.5612648221343872E-2</v>
      </c>
      <c r="R8" s="33">
        <f t="shared" si="7"/>
        <v>2.5612648221343872E-2</v>
      </c>
      <c r="S8" s="33">
        <v>0.75</v>
      </c>
      <c r="T8" s="7">
        <f t="shared" si="8"/>
        <v>1.9209486166007903E-2</v>
      </c>
      <c r="U8" s="7">
        <v>1.9195199999999999E-2</v>
      </c>
      <c r="V8" s="7">
        <f t="shared" si="9"/>
        <v>1.4286166007904111E-5</v>
      </c>
      <c r="W8" s="7">
        <f t="shared" si="10"/>
        <v>7.4370370370365033E-4</v>
      </c>
    </row>
    <row r="9" spans="1:24">
      <c r="A9" t="s">
        <v>9</v>
      </c>
      <c r="B9">
        <v>7</v>
      </c>
      <c r="C9" s="8">
        <v>2</v>
      </c>
      <c r="D9" s="8">
        <v>2</v>
      </c>
      <c r="E9" s="8">
        <v>0</v>
      </c>
      <c r="F9">
        <v>6</v>
      </c>
      <c r="R9" s="7">
        <f>SUM(R5:R8)</f>
        <v>7.8438735177865607E-2</v>
      </c>
      <c r="T9" s="7">
        <f>SUM(T5:T8)</f>
        <v>5.8829051383399208E-2</v>
      </c>
    </row>
    <row r="10" spans="1:24">
      <c r="A10" s="17" t="s">
        <v>10</v>
      </c>
      <c r="B10" s="17">
        <v>7</v>
      </c>
      <c r="C10" s="8">
        <v>2</v>
      </c>
      <c r="D10" s="8">
        <v>2</v>
      </c>
      <c r="E10" s="8">
        <v>2</v>
      </c>
      <c r="F10" s="17">
        <v>6</v>
      </c>
      <c r="T10" s="7"/>
    </row>
    <row r="11" spans="1:24">
      <c r="A11" t="s">
        <v>11</v>
      </c>
      <c r="B11">
        <v>2</v>
      </c>
      <c r="C11" s="8">
        <v>6</v>
      </c>
      <c r="D11" s="8">
        <v>0</v>
      </c>
      <c r="E11" s="8">
        <v>0</v>
      </c>
      <c r="F11">
        <v>6</v>
      </c>
      <c r="T11" s="7"/>
    </row>
    <row r="12" spans="1:24">
      <c r="A12" s="17" t="s">
        <v>12</v>
      </c>
      <c r="B12" s="17">
        <v>2</v>
      </c>
      <c r="C12" s="8">
        <v>6</v>
      </c>
      <c r="D12" s="8">
        <v>0</v>
      </c>
      <c r="E12" s="8">
        <v>4</v>
      </c>
      <c r="F12" s="17">
        <v>6</v>
      </c>
      <c r="H12" s="3" t="s">
        <v>23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 t="s">
        <v>67</v>
      </c>
      <c r="U12" s="3" t="s">
        <v>274</v>
      </c>
    </row>
    <row r="13" spans="1:24">
      <c r="A13" t="s">
        <v>20</v>
      </c>
      <c r="B13">
        <v>0</v>
      </c>
      <c r="C13" s="8">
        <v>4</v>
      </c>
      <c r="D13" s="8">
        <v>0</v>
      </c>
      <c r="E13" s="8">
        <v>4</v>
      </c>
      <c r="F13">
        <v>0</v>
      </c>
      <c r="H13" t="s">
        <v>278</v>
      </c>
      <c r="T13" s="7">
        <f>'Step-7'!$R$29</f>
        <v>7.185276679841898E-3</v>
      </c>
      <c r="U13">
        <v>1</v>
      </c>
      <c r="V13">
        <f>T13*U13</f>
        <v>7.185276679841898E-3</v>
      </c>
    </row>
    <row r="14" spans="1:24">
      <c r="A14" s="17" t="s">
        <v>21</v>
      </c>
      <c r="B14" s="17">
        <v>0</v>
      </c>
      <c r="C14" s="8">
        <v>3</v>
      </c>
      <c r="D14" s="8">
        <v>3</v>
      </c>
      <c r="E14" s="8">
        <v>3</v>
      </c>
      <c r="F14" s="17">
        <v>0</v>
      </c>
      <c r="H14" t="s">
        <v>279</v>
      </c>
      <c r="T14" s="7">
        <f>'Step-7'!R59</f>
        <v>0.11015146368577074</v>
      </c>
      <c r="U14">
        <v>0.75</v>
      </c>
      <c r="V14">
        <f>T14*U14</f>
        <v>8.2613597764328056E-2</v>
      </c>
      <c r="X14" s="7">
        <f>T9+T14</f>
        <v>0.16898051506916995</v>
      </c>
    </row>
    <row r="15" spans="1:24">
      <c r="A15" t="s">
        <v>68</v>
      </c>
      <c r="B15">
        <v>0</v>
      </c>
      <c r="C15" s="8">
        <v>0</v>
      </c>
      <c r="D15" s="8">
        <v>0</v>
      </c>
      <c r="E15" s="8">
        <v>0</v>
      </c>
      <c r="F15">
        <v>0</v>
      </c>
      <c r="H15" t="s">
        <v>280</v>
      </c>
      <c r="T15" s="7">
        <f>R2</f>
        <v>0</v>
      </c>
      <c r="U15">
        <v>1</v>
      </c>
      <c r="V15">
        <f t="shared" ref="V15:V17" si="11">T15*U15</f>
        <v>0</v>
      </c>
    </row>
    <row r="16" spans="1:24">
      <c r="A16" s="17" t="s">
        <v>69</v>
      </c>
      <c r="B16" s="17">
        <v>0</v>
      </c>
      <c r="C16" s="8">
        <v>0</v>
      </c>
      <c r="D16" s="8">
        <v>0</v>
      </c>
      <c r="E16" s="8">
        <v>0</v>
      </c>
      <c r="F16" s="17">
        <v>0</v>
      </c>
      <c r="H16" t="s">
        <v>281</v>
      </c>
      <c r="T16" s="7">
        <f>T9</f>
        <v>5.8829051383399208E-2</v>
      </c>
      <c r="U16">
        <v>1</v>
      </c>
      <c r="V16">
        <f t="shared" si="11"/>
        <v>5.8829051383399208E-2</v>
      </c>
      <c r="X16" s="7">
        <f>SUM(T13:T16)</f>
        <v>0.17616579174901184</v>
      </c>
    </row>
    <row r="17" spans="1:24">
      <c r="A17" t="s">
        <v>70</v>
      </c>
      <c r="B17">
        <v>0</v>
      </c>
      <c r="C17" s="8">
        <v>0</v>
      </c>
      <c r="D17" s="8">
        <v>0</v>
      </c>
      <c r="E17" s="8">
        <v>0</v>
      </c>
      <c r="F17">
        <v>0</v>
      </c>
      <c r="H17" t="s">
        <v>282</v>
      </c>
      <c r="T17">
        <f>'Step-7'!L65</f>
        <v>0.31197628458498028</v>
      </c>
      <c r="U17">
        <v>1</v>
      </c>
      <c r="V17">
        <f t="shared" si="11"/>
        <v>0.31197628458498028</v>
      </c>
    </row>
    <row r="18" spans="1:24">
      <c r="A18" s="1" t="s">
        <v>22</v>
      </c>
      <c r="B18" s="5">
        <f>SUM(B3:B17)</f>
        <v>32</v>
      </c>
      <c r="C18" s="5">
        <f t="shared" ref="C18:F18" si="12">SUM(C3:C17)</f>
        <v>40</v>
      </c>
      <c r="D18" s="5">
        <f t="shared" si="12"/>
        <v>23</v>
      </c>
      <c r="E18" s="5">
        <f t="shared" si="12"/>
        <v>55</v>
      </c>
      <c r="F18" s="5">
        <f t="shared" si="12"/>
        <v>48</v>
      </c>
      <c r="H18" t="s">
        <v>22</v>
      </c>
      <c r="T18" s="7">
        <f>SUM(T13:T17)</f>
        <v>0.48814207633399209</v>
      </c>
      <c r="V18" s="7">
        <f>T13+V14+T15+T16+T17</f>
        <v>0.46060421041254945</v>
      </c>
      <c r="X18" s="7">
        <f>T17+T13+T15</f>
        <v>0.3191615612648222</v>
      </c>
    </row>
    <row r="19" spans="1:24">
      <c r="A19" s="4" t="s">
        <v>33</v>
      </c>
      <c r="B19" s="54">
        <f>PRODUCT(B18:F18)</f>
        <v>77721600</v>
      </c>
      <c r="C19" s="54"/>
      <c r="D19" s="54"/>
      <c r="E19" s="54"/>
      <c r="F19" s="54"/>
    </row>
    <row r="20" spans="1:24">
      <c r="A20" s="11"/>
      <c r="B20" s="6"/>
    </row>
    <row r="21" spans="1:24">
      <c r="A21" s="3" t="s">
        <v>30</v>
      </c>
      <c r="B21" s="3" t="s">
        <v>34</v>
      </c>
    </row>
    <row r="22" spans="1:24">
      <c r="A22">
        <v>20</v>
      </c>
      <c r="B22">
        <v>10</v>
      </c>
    </row>
    <row r="24" spans="1:24">
      <c r="A24" s="1" t="s">
        <v>0</v>
      </c>
      <c r="B24" s="1" t="s">
        <v>1</v>
      </c>
      <c r="C24" s="1" t="s">
        <v>2</v>
      </c>
      <c r="D24" s="1" t="s">
        <v>3</v>
      </c>
    </row>
    <row r="25" spans="1:24">
      <c r="A25" t="s">
        <v>4</v>
      </c>
      <c r="B25" s="2">
        <v>75</v>
      </c>
      <c r="C25" s="2">
        <v>25</v>
      </c>
      <c r="D25" s="2">
        <v>2</v>
      </c>
    </row>
    <row r="26" spans="1:24">
      <c r="A26" t="s">
        <v>5</v>
      </c>
      <c r="B26" s="2">
        <v>50</v>
      </c>
      <c r="C26" s="2">
        <v>12</v>
      </c>
      <c r="D26" s="2">
        <v>2</v>
      </c>
    </row>
    <row r="27" spans="1:24">
      <c r="A27" t="s">
        <v>6</v>
      </c>
      <c r="B27" s="2">
        <v>50</v>
      </c>
      <c r="C27" s="2">
        <v>12</v>
      </c>
      <c r="D27" s="2">
        <v>2</v>
      </c>
    </row>
    <row r="28" spans="1:24">
      <c r="A28" t="s">
        <v>7</v>
      </c>
      <c r="B28" s="2">
        <v>50</v>
      </c>
      <c r="C28" s="2">
        <v>12</v>
      </c>
      <c r="D28" s="2">
        <v>2</v>
      </c>
    </row>
    <row r="29" spans="1:24">
      <c r="A29" t="s">
        <v>8</v>
      </c>
      <c r="B29" s="2">
        <v>40</v>
      </c>
      <c r="C29" s="2">
        <v>7</v>
      </c>
      <c r="D29" s="2">
        <v>2</v>
      </c>
    </row>
    <row r="30" spans="1:24">
      <c r="A30" t="s">
        <v>9</v>
      </c>
      <c r="B30" s="2">
        <v>25</v>
      </c>
      <c r="C30" s="2">
        <v>5</v>
      </c>
      <c r="D30" s="2">
        <v>2</v>
      </c>
    </row>
    <row r="31" spans="1:24">
      <c r="A31" t="s">
        <v>10</v>
      </c>
      <c r="B31" s="2">
        <v>25</v>
      </c>
      <c r="C31" s="2">
        <v>5</v>
      </c>
      <c r="D31" s="2">
        <v>2</v>
      </c>
    </row>
    <row r="32" spans="1:24">
      <c r="A32" t="s">
        <v>11</v>
      </c>
      <c r="B32" s="2">
        <v>25</v>
      </c>
      <c r="C32" s="2">
        <v>5</v>
      </c>
      <c r="D32" s="2">
        <v>2</v>
      </c>
    </row>
    <row r="33" spans="1:4">
      <c r="A33" t="s">
        <v>12</v>
      </c>
      <c r="B33" s="2">
        <v>25</v>
      </c>
      <c r="C33" s="2">
        <v>5</v>
      </c>
      <c r="D33" s="2">
        <v>2</v>
      </c>
    </row>
    <row r="34" spans="1:4">
      <c r="A34" t="s">
        <v>20</v>
      </c>
      <c r="B34" s="2">
        <v>50</v>
      </c>
      <c r="C34" s="2">
        <v>5</v>
      </c>
      <c r="D34" s="2">
        <v>1</v>
      </c>
    </row>
    <row r="37" spans="1:4">
      <c r="A37" s="3" t="s">
        <v>89</v>
      </c>
      <c r="B37" s="3"/>
    </row>
    <row r="38" spans="1:4">
      <c r="A38" s="3" t="s">
        <v>90</v>
      </c>
      <c r="B38" s="3" t="s">
        <v>23</v>
      </c>
    </row>
    <row r="39" spans="1:4">
      <c r="A39" t="s">
        <v>91</v>
      </c>
      <c r="B39">
        <v>1250</v>
      </c>
    </row>
    <row r="40" spans="1:4">
      <c r="A40" t="s">
        <v>92</v>
      </c>
      <c r="B40">
        <v>125</v>
      </c>
    </row>
    <row r="41" spans="1:4">
      <c r="A41" t="s">
        <v>93</v>
      </c>
      <c r="B41">
        <v>25</v>
      </c>
    </row>
    <row r="42" spans="1:4">
      <c r="A42" t="s">
        <v>94</v>
      </c>
      <c r="B42">
        <v>10</v>
      </c>
    </row>
    <row r="43" spans="1:4">
      <c r="A43" t="s">
        <v>95</v>
      </c>
      <c r="B43">
        <v>5</v>
      </c>
    </row>
    <row r="46" spans="1:4">
      <c r="A46" s="3" t="s">
        <v>113</v>
      </c>
      <c r="B46" s="3"/>
      <c r="C46" s="3"/>
    </row>
    <row r="47" spans="1:4">
      <c r="A47">
        <v>2</v>
      </c>
    </row>
    <row r="49" spans="1:7">
      <c r="A49" t="s">
        <v>114</v>
      </c>
      <c r="C49">
        <v>2</v>
      </c>
      <c r="D49">
        <v>3</v>
      </c>
      <c r="E49">
        <v>4</v>
      </c>
      <c r="F49">
        <v>5</v>
      </c>
    </row>
    <row r="50" spans="1:7">
      <c r="A50" t="s">
        <v>112</v>
      </c>
      <c r="C50">
        <v>1</v>
      </c>
      <c r="D50">
        <v>1</v>
      </c>
      <c r="E50">
        <v>1</v>
      </c>
      <c r="F50">
        <v>3</v>
      </c>
      <c r="G50">
        <f>SUM(C50:F50)</f>
        <v>6</v>
      </c>
    </row>
    <row r="51" spans="1:7">
      <c r="A51" t="s">
        <v>115</v>
      </c>
      <c r="C51">
        <f>C50/$G$50</f>
        <v>0.16666666666666666</v>
      </c>
      <c r="D51">
        <f>D50/$G$50</f>
        <v>0.16666666666666666</v>
      </c>
      <c r="E51">
        <f>E50/$G$50</f>
        <v>0.16666666666666666</v>
      </c>
      <c r="F51">
        <f>F50/$G$50</f>
        <v>0.5</v>
      </c>
    </row>
    <row r="52" spans="1:7">
      <c r="A52" t="s">
        <v>116</v>
      </c>
      <c r="C52">
        <f>SUMPRODUCT(C49:F49,C51:F51)</f>
        <v>4</v>
      </c>
    </row>
    <row r="53" spans="1:7">
      <c r="A53" t="s">
        <v>116</v>
      </c>
      <c r="B53" t="s">
        <v>117</v>
      </c>
      <c r="C53">
        <f>$A$47/$C$52</f>
        <v>0.5</v>
      </c>
    </row>
    <row r="55" spans="1:7">
      <c r="A55" s="25" t="s">
        <v>23</v>
      </c>
      <c r="B55" s="25" t="s">
        <v>81</v>
      </c>
      <c r="C55" s="3" t="s">
        <v>80</v>
      </c>
    </row>
    <row r="56" spans="1:7">
      <c r="A56" s="26">
        <v>0.2</v>
      </c>
      <c r="B56" s="26">
        <v>75000</v>
      </c>
      <c r="C56" s="27">
        <f>B56/$B$63</f>
        <v>0.75</v>
      </c>
    </row>
    <row r="57" spans="1:7">
      <c r="A57" s="26">
        <v>0.5</v>
      </c>
      <c r="B57" s="26">
        <v>3000</v>
      </c>
      <c r="C57" s="27">
        <f t="shared" ref="C57:C62" si="13">B57/$B$63</f>
        <v>0.03</v>
      </c>
    </row>
    <row r="58" spans="1:7">
      <c r="A58" s="26">
        <v>0.8</v>
      </c>
      <c r="B58" s="26">
        <v>3000</v>
      </c>
      <c r="C58" s="27">
        <f t="shared" si="13"/>
        <v>0.03</v>
      </c>
    </row>
    <row r="59" spans="1:7">
      <c r="A59" s="26">
        <v>1</v>
      </c>
      <c r="B59" s="26">
        <v>3000</v>
      </c>
      <c r="C59" s="27">
        <f t="shared" si="13"/>
        <v>0.03</v>
      </c>
    </row>
    <row r="60" spans="1:7">
      <c r="A60" s="26">
        <v>1.2</v>
      </c>
      <c r="B60" s="26">
        <v>3000</v>
      </c>
      <c r="C60" s="27">
        <f t="shared" si="13"/>
        <v>0.03</v>
      </c>
    </row>
    <row r="61" spans="1:7">
      <c r="A61" s="26">
        <v>1.5</v>
      </c>
      <c r="B61" s="26">
        <v>3000</v>
      </c>
      <c r="C61" s="27">
        <f t="shared" si="13"/>
        <v>0.03</v>
      </c>
    </row>
    <row r="62" spans="1:7">
      <c r="A62" s="26">
        <v>2</v>
      </c>
      <c r="B62" s="26">
        <v>10000</v>
      </c>
      <c r="C62" s="27">
        <f t="shared" si="13"/>
        <v>0.1</v>
      </c>
    </row>
    <row r="63" spans="1:7">
      <c r="A63" s="27"/>
      <c r="B63" s="28">
        <f>SUM(B56:B62)</f>
        <v>100000</v>
      </c>
      <c r="C63" s="28">
        <f>SUM(C56:C62)</f>
        <v>1.0000000000000002</v>
      </c>
    </row>
    <row r="65" spans="1:1">
      <c r="A65">
        <f>SUMPRODUCT(A56:A62,C56:C62)</f>
        <v>0.5</v>
      </c>
    </row>
  </sheetData>
  <mergeCells count="2">
    <mergeCell ref="A1:F1"/>
    <mergeCell ref="B19:F1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B3070-19C3-4A99-A52B-D55A91348463}">
  <dimension ref="A1:AH59"/>
  <sheetViews>
    <sheetView tabSelected="1" topLeftCell="A4" workbookViewId="0">
      <selection activeCell="N6" sqref="N6"/>
    </sheetView>
  </sheetViews>
  <sheetFormatPr defaultRowHeight="14.5"/>
  <cols>
    <col min="8" max="8" width="13.81640625" customWidth="1"/>
    <col min="14" max="15" width="10.36328125" customWidth="1"/>
    <col min="16" max="16" width="17.453125" customWidth="1"/>
    <col min="17" max="17" width="13.08984375" customWidth="1"/>
    <col min="18" max="18" width="11.7265625" customWidth="1"/>
    <col min="19" max="19" width="14.90625" style="51" customWidth="1"/>
    <col min="20" max="20" width="12.26953125" customWidth="1"/>
    <col min="21" max="21" width="13.453125" customWidth="1"/>
    <col min="22" max="22" width="24.6328125" customWidth="1"/>
    <col min="23" max="23" width="9.7265625" customWidth="1"/>
    <col min="30" max="30" width="11.81640625" bestFit="1" customWidth="1"/>
    <col min="32" max="32" width="16.90625" customWidth="1"/>
  </cols>
  <sheetData>
    <row r="1" spans="1:34">
      <c r="A1" s="53" t="s">
        <v>13</v>
      </c>
      <c r="B1" s="53" t="s">
        <v>13</v>
      </c>
      <c r="C1" s="53" t="s">
        <v>13</v>
      </c>
      <c r="D1" s="53" t="s">
        <v>13</v>
      </c>
      <c r="E1" s="53" t="s">
        <v>13</v>
      </c>
      <c r="F1" s="53" t="s">
        <v>13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31</v>
      </c>
      <c r="O1" s="3" t="s">
        <v>286</v>
      </c>
      <c r="P1" s="3" t="s">
        <v>62</v>
      </c>
      <c r="Q1" s="3" t="s">
        <v>63</v>
      </c>
      <c r="R1" s="3" t="s">
        <v>32</v>
      </c>
      <c r="S1" s="50" t="s">
        <v>35</v>
      </c>
      <c r="U1" s="3" t="s">
        <v>23</v>
      </c>
      <c r="V1" s="3" t="s">
        <v>24</v>
      </c>
      <c r="W1" s="3" t="s">
        <v>25</v>
      </c>
      <c r="X1" s="3" t="s">
        <v>26</v>
      </c>
      <c r="Y1" s="3" t="s">
        <v>27</v>
      </c>
      <c r="Z1" s="3" t="s">
        <v>28</v>
      </c>
      <c r="AA1" s="3" t="s">
        <v>31</v>
      </c>
      <c r="AB1" s="3" t="s">
        <v>62</v>
      </c>
      <c r="AC1" s="3" t="s">
        <v>32</v>
      </c>
      <c r="AD1" s="3" t="s">
        <v>35</v>
      </c>
      <c r="AF1" s="3" t="s">
        <v>324</v>
      </c>
      <c r="AG1" s="3" t="s">
        <v>358</v>
      </c>
      <c r="AH1" s="3" t="s">
        <v>359</v>
      </c>
    </row>
    <row r="2" spans="1:34">
      <c r="A2" s="1" t="s">
        <v>0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H2" s="41" t="s">
        <v>283</v>
      </c>
      <c r="I2" s="27">
        <f>$B$3</f>
        <v>2</v>
      </c>
      <c r="J2" s="27">
        <f>$C$3</f>
        <v>2</v>
      </c>
      <c r="K2" s="27">
        <f>$D$3</f>
        <v>2</v>
      </c>
      <c r="L2" s="27">
        <f>$E$3</f>
        <v>2</v>
      </c>
      <c r="M2" s="27">
        <f>$F$3</f>
        <v>2</v>
      </c>
      <c r="N2">
        <f t="shared" ref="N2:N8" si="0">PRODUCT(I2:M2)</f>
        <v>32</v>
      </c>
      <c r="P2" s="10">
        <f>N2/$B$19</f>
        <v>3.0509775637211921E-7</v>
      </c>
      <c r="Q2" s="7">
        <f t="shared" ref="Q2:Q5" si="1">P2*$A$22</f>
        <v>6.1019551274423839E-6</v>
      </c>
      <c r="R2" s="7">
        <f>Q2*INDEX(Paytable,1,1)</f>
        <v>1.8305865382327151E-3</v>
      </c>
      <c r="S2" s="51">
        <f t="shared" ref="S2:S5" si="2">R2/$B$22</f>
        <v>1.8305865382327151E-4</v>
      </c>
      <c r="U2" s="46" t="s">
        <v>305</v>
      </c>
      <c r="V2" s="47">
        <f>B13*3</f>
        <v>3</v>
      </c>
      <c r="W2" s="47">
        <f>C13*3</f>
        <v>3</v>
      </c>
      <c r="X2" s="47">
        <f>D13*3</f>
        <v>3</v>
      </c>
      <c r="Y2" s="47">
        <f>E13*3</f>
        <v>3</v>
      </c>
      <c r="Z2" s="47">
        <f>F13*3</f>
        <v>3</v>
      </c>
      <c r="AA2" s="47">
        <f>PRODUCT(V2:Z2)</f>
        <v>243</v>
      </c>
      <c r="AB2" s="9">
        <f>AA2/$B$19</f>
        <v>2.3168360874507801E-6</v>
      </c>
      <c r="AC2" s="8">
        <f>AB2*$B$35</f>
        <v>1.15841804372539E-4</v>
      </c>
      <c r="AD2" s="9">
        <f>AC2/$B$22</f>
        <v>1.15841804372539E-5</v>
      </c>
      <c r="AG2">
        <v>0.8</v>
      </c>
      <c r="AH2">
        <v>0.2</v>
      </c>
    </row>
    <row r="3" spans="1:34">
      <c r="A3" t="s">
        <v>19</v>
      </c>
      <c r="B3" s="40">
        <v>2</v>
      </c>
      <c r="C3" s="8">
        <v>2</v>
      </c>
      <c r="D3" s="40">
        <v>2</v>
      </c>
      <c r="E3" s="8">
        <v>2</v>
      </c>
      <c r="F3" s="40">
        <v>2</v>
      </c>
      <c r="H3" t="s">
        <v>284</v>
      </c>
      <c r="I3" s="27">
        <f>$I$2</f>
        <v>2</v>
      </c>
      <c r="J3" s="27">
        <f>$C$3</f>
        <v>2</v>
      </c>
      <c r="K3" s="27">
        <f t="shared" ref="K3:K4" si="3">$D$3</f>
        <v>2</v>
      </c>
      <c r="L3" s="27">
        <f>$E$3</f>
        <v>2</v>
      </c>
      <c r="M3" s="27">
        <f>$F$13+$F$14</f>
        <v>2</v>
      </c>
      <c r="N3">
        <f t="shared" si="0"/>
        <v>32</v>
      </c>
      <c r="P3" s="10">
        <f t="shared" ref="P3:P4" si="4">N3/$B$19</f>
        <v>3.0509775637211921E-7</v>
      </c>
      <c r="Q3" s="7">
        <f t="shared" si="1"/>
        <v>6.1019551274423839E-6</v>
      </c>
      <c r="R3" s="7">
        <f>Q3*INDEX(Paytable,1,2)</f>
        <v>1.5254887818605959E-4</v>
      </c>
      <c r="S3" s="51">
        <f t="shared" si="2"/>
        <v>1.5254887818605959E-5</v>
      </c>
      <c r="U3" s="42"/>
      <c r="V3" s="45"/>
      <c r="W3" s="45"/>
      <c r="X3" s="45"/>
      <c r="Y3" s="45"/>
      <c r="Z3" s="45"/>
      <c r="AA3" s="45"/>
      <c r="AD3" s="7"/>
    </row>
    <row r="4" spans="1:34">
      <c r="A4" s="8" t="s">
        <v>4</v>
      </c>
      <c r="B4" s="40">
        <v>2</v>
      </c>
      <c r="C4" s="8">
        <v>1</v>
      </c>
      <c r="D4" s="40">
        <v>6</v>
      </c>
      <c r="E4" s="8">
        <v>4</v>
      </c>
      <c r="F4" s="40">
        <v>3</v>
      </c>
      <c r="H4" t="s">
        <v>285</v>
      </c>
      <c r="I4" s="27">
        <f>$I$2</f>
        <v>2</v>
      </c>
      <c r="J4" s="27">
        <f>$J$2</f>
        <v>2</v>
      </c>
      <c r="K4" s="27">
        <f t="shared" si="3"/>
        <v>2</v>
      </c>
      <c r="L4" s="27">
        <f>$E$13+$E$14</f>
        <v>2</v>
      </c>
      <c r="M4" s="27" cm="1">
        <f t="array" ref="M4">INDEX(Total,,6)</f>
        <v>52</v>
      </c>
      <c r="N4">
        <f t="shared" si="0"/>
        <v>832</v>
      </c>
      <c r="P4" s="10">
        <f t="shared" si="4"/>
        <v>7.9325416656750985E-6</v>
      </c>
      <c r="Q4" s="7">
        <f t="shared" si="1"/>
        <v>1.5865083331350198E-4</v>
      </c>
      <c r="R4" s="7">
        <f>Q4*INDEX(Paytable,1,3)</f>
        <v>6.3460333325400791E-4</v>
      </c>
      <c r="S4" s="51">
        <f t="shared" si="2"/>
        <v>6.3460333325400788E-5</v>
      </c>
      <c r="U4" s="46" t="s">
        <v>306</v>
      </c>
      <c r="V4" s="47">
        <f>$B$13*NumRows</f>
        <v>3</v>
      </c>
      <c r="W4" s="47">
        <f>$C$13*NumRows</f>
        <v>3</v>
      </c>
      <c r="X4" s="47">
        <f>$D$13*NumRows</f>
        <v>3</v>
      </c>
      <c r="Y4" s="47">
        <f>$E$13*NumRows</f>
        <v>3</v>
      </c>
      <c r="Z4" s="47">
        <f>$F$18-$F$13*NumRows</f>
        <v>49</v>
      </c>
      <c r="AA4" s="47">
        <f>PRODUCT(V4:Z4)</f>
        <v>3969</v>
      </c>
      <c r="AB4" s="9">
        <f>AA4/$B$19</f>
        <v>3.7841656095029406E-5</v>
      </c>
      <c r="AC4" s="9">
        <f t="shared" ref="AC4:AC9" si="5">AB4*$C$35</f>
        <v>1.8920828047514702E-4</v>
      </c>
      <c r="AD4" s="9">
        <f t="shared" ref="AD4:AD9" si="6">AC4/$B$22</f>
        <v>1.8920828047514703E-5</v>
      </c>
      <c r="AF4" s="3" t="s">
        <v>326</v>
      </c>
      <c r="AG4" s="3" t="s">
        <v>80</v>
      </c>
      <c r="AH4" s="3" t="s">
        <v>112</v>
      </c>
    </row>
    <row r="5" spans="1:34">
      <c r="A5" t="s">
        <v>5</v>
      </c>
      <c r="B5" s="40">
        <v>3</v>
      </c>
      <c r="C5" s="8">
        <v>2</v>
      </c>
      <c r="D5" s="40">
        <v>4</v>
      </c>
      <c r="E5" s="8">
        <v>4</v>
      </c>
      <c r="F5" s="40">
        <v>4</v>
      </c>
      <c r="H5" s="12" t="s">
        <v>29</v>
      </c>
      <c r="I5" s="43">
        <f>$B$3+$B$4</f>
        <v>4</v>
      </c>
      <c r="J5" s="43">
        <f>$C$3+$C$4</f>
        <v>3</v>
      </c>
      <c r="K5" s="43">
        <f>$D$3+$D$4</f>
        <v>8</v>
      </c>
      <c r="L5" s="43">
        <f>$E$3+$E$4</f>
        <v>6</v>
      </c>
      <c r="M5" s="43">
        <f>$F$3+$F$4</f>
        <v>5</v>
      </c>
      <c r="N5" s="8">
        <f t="shared" si="0"/>
        <v>2880</v>
      </c>
      <c r="O5" s="8">
        <f>N5-N6</f>
        <v>2848</v>
      </c>
      <c r="P5" s="9">
        <f>O5/$B$19</f>
        <v>2.7153700317118609E-5</v>
      </c>
      <c r="Q5" s="9">
        <f t="shared" si="1"/>
        <v>5.4307400634237221E-4</v>
      </c>
      <c r="R5" s="9">
        <f>Q5*INDEX(Paytable,2,1)</f>
        <v>4.0730550475677918E-2</v>
      </c>
      <c r="S5" s="52">
        <f t="shared" si="2"/>
        <v>4.0730550475677916E-3</v>
      </c>
      <c r="U5" s="46" t="s">
        <v>307</v>
      </c>
      <c r="V5" s="47">
        <f>$B$13*NumRows</f>
        <v>3</v>
      </c>
      <c r="W5" s="47">
        <f>$C$13*NumRows</f>
        <v>3</v>
      </c>
      <c r="X5" s="47">
        <f>$D$13*NumRows</f>
        <v>3</v>
      </c>
      <c r="Y5" s="47">
        <f>$E$18-$E$13*NumRows</f>
        <v>43</v>
      </c>
      <c r="Z5" s="47">
        <f>$F$13*NumRows</f>
        <v>3</v>
      </c>
      <c r="AA5" s="47">
        <f>PRODUCT(V5:Z5)</f>
        <v>3483</v>
      </c>
      <c r="AB5" s="9">
        <f>AA5/$B$19</f>
        <v>3.320798392012785E-5</v>
      </c>
      <c r="AC5" s="9">
        <f t="shared" si="5"/>
        <v>1.6603991960063925E-4</v>
      </c>
      <c r="AD5" s="9">
        <f t="shared" si="6"/>
        <v>1.6603991960063925E-5</v>
      </c>
      <c r="AF5" t="s">
        <v>325</v>
      </c>
      <c r="AG5">
        <f>POWER(AG2, 5)</f>
        <v>0.32768000000000019</v>
      </c>
      <c r="AH5">
        <f>AG5*1000000</f>
        <v>327680.00000000017</v>
      </c>
    </row>
    <row r="6" spans="1:34">
      <c r="A6" s="8" t="s">
        <v>6</v>
      </c>
      <c r="B6" s="40">
        <v>3</v>
      </c>
      <c r="C6" s="8">
        <v>3</v>
      </c>
      <c r="D6" s="40">
        <v>5</v>
      </c>
      <c r="E6" s="8">
        <v>3</v>
      </c>
      <c r="F6" s="40">
        <v>6</v>
      </c>
      <c r="H6" s="8" t="s">
        <v>283</v>
      </c>
      <c r="I6" s="43">
        <f>$B$3</f>
        <v>2</v>
      </c>
      <c r="J6" s="43">
        <f>$C$3</f>
        <v>2</v>
      </c>
      <c r="K6" s="43">
        <f>$D$3</f>
        <v>2</v>
      </c>
      <c r="L6" s="43">
        <f>$E$3</f>
        <v>2</v>
      </c>
      <c r="M6" s="43">
        <f>$F$3</f>
        <v>2</v>
      </c>
      <c r="N6" s="8">
        <f t="shared" si="0"/>
        <v>32</v>
      </c>
      <c r="O6" s="8"/>
      <c r="P6" s="9"/>
      <c r="Q6" s="9"/>
      <c r="R6" s="9"/>
      <c r="S6" s="52"/>
      <c r="T6" s="7"/>
      <c r="U6" s="46" t="s">
        <v>308</v>
      </c>
      <c r="V6" s="47">
        <f>$B$13*NumRows</f>
        <v>3</v>
      </c>
      <c r="W6" s="47">
        <f>$C$13*NumRows</f>
        <v>3</v>
      </c>
      <c r="X6" s="47">
        <f>$D$18-$D$13*NumRows</f>
        <v>26</v>
      </c>
      <c r="Y6" s="47">
        <f>$E$13*NumRows</f>
        <v>3</v>
      </c>
      <c r="Z6" s="47">
        <f>$F$13*NumRows</f>
        <v>3</v>
      </c>
      <c r="AA6" s="47">
        <f>PRODUCT(V6:Z6)</f>
        <v>2106</v>
      </c>
      <c r="AB6" s="9">
        <f>AA6/$B$19</f>
        <v>2.0079246091240094E-5</v>
      </c>
      <c r="AC6" s="9">
        <f t="shared" si="5"/>
        <v>1.0039623045620047E-4</v>
      </c>
      <c r="AD6" s="9">
        <f t="shared" si="6"/>
        <v>1.0039623045620047E-5</v>
      </c>
    </row>
    <row r="7" spans="1:34">
      <c r="A7" t="s">
        <v>7</v>
      </c>
      <c r="B7" s="40">
        <v>2</v>
      </c>
      <c r="C7" s="8">
        <v>8</v>
      </c>
      <c r="D7" s="40">
        <v>2</v>
      </c>
      <c r="E7" s="8">
        <v>4</v>
      </c>
      <c r="F7" s="40">
        <v>6</v>
      </c>
      <c r="H7" t="s">
        <v>36</v>
      </c>
      <c r="I7" s="27">
        <f>$B$3+$B$4</f>
        <v>4</v>
      </c>
      <c r="J7" s="27">
        <f>$C$3+$C$4</f>
        <v>3</v>
      </c>
      <c r="K7" s="27">
        <f t="shared" ref="K7" si="7">$D$3+$D$4</f>
        <v>8</v>
      </c>
      <c r="L7" s="27">
        <f t="shared" ref="L7" si="8">$E$3+$E$4</f>
        <v>6</v>
      </c>
      <c r="M7" s="27">
        <f>$F$18-$F$3-$F$4</f>
        <v>47</v>
      </c>
      <c r="N7">
        <f t="shared" si="0"/>
        <v>27072</v>
      </c>
      <c r="O7">
        <f>N7-N8</f>
        <v>26320</v>
      </c>
      <c r="P7" s="7">
        <f>O7/$B$19</f>
        <v>2.5094290461606802E-4</v>
      </c>
      <c r="Q7" s="7">
        <f>P7*$A$22</f>
        <v>5.0188580923213599E-3</v>
      </c>
      <c r="R7" s="7">
        <f>Q7*$C$26</f>
        <v>0.125471452308034</v>
      </c>
      <c r="S7" s="51">
        <f>R7/$B$22</f>
        <v>1.25471452308034E-2</v>
      </c>
      <c r="U7" s="46" t="s">
        <v>309</v>
      </c>
      <c r="V7" s="47">
        <f>$B$13*NumRows</f>
        <v>3</v>
      </c>
      <c r="W7" s="47">
        <f>$C$18-$C$13*NumRows</f>
        <v>39</v>
      </c>
      <c r="X7" s="47">
        <f>$E$13*NumRows</f>
        <v>3</v>
      </c>
      <c r="Y7" s="47">
        <f>$E$13*NumRows</f>
        <v>3</v>
      </c>
      <c r="Z7" s="47">
        <f>$F$13*NumRows</f>
        <v>3</v>
      </c>
      <c r="AA7" s="47">
        <f>PRODUCT(V7:Z7)</f>
        <v>3159</v>
      </c>
      <c r="AB7" s="9">
        <f>AA7/$B$19</f>
        <v>3.011886913686014E-5</v>
      </c>
      <c r="AC7" s="9">
        <f t="shared" si="5"/>
        <v>1.505943456843007E-4</v>
      </c>
      <c r="AD7" s="9">
        <f t="shared" si="6"/>
        <v>1.505943456843007E-5</v>
      </c>
      <c r="AE7" s="7"/>
      <c r="AF7" s="49" t="s">
        <v>348</v>
      </c>
      <c r="AG7">
        <f>POWER($AG$2,4)*POWER($AH$2,1)</f>
        <v>8.1920000000000048E-2</v>
      </c>
      <c r="AH7">
        <f t="shared" ref="AH7:AH41" si="9">AG7*1000000</f>
        <v>81920.000000000044</v>
      </c>
    </row>
    <row r="8" spans="1:34">
      <c r="A8" s="8" t="s">
        <v>8</v>
      </c>
      <c r="B8" s="40">
        <v>4</v>
      </c>
      <c r="C8" s="8">
        <v>8</v>
      </c>
      <c r="D8" s="40">
        <v>4</v>
      </c>
      <c r="E8" s="8">
        <v>6</v>
      </c>
      <c r="F8" s="40">
        <v>5</v>
      </c>
      <c r="H8" t="s">
        <v>288</v>
      </c>
      <c r="I8" s="27">
        <f>$I$2</f>
        <v>2</v>
      </c>
      <c r="J8" s="27">
        <f>$C$3</f>
        <v>2</v>
      </c>
      <c r="K8" s="27">
        <f>$D$3</f>
        <v>2</v>
      </c>
      <c r="L8" s="27">
        <f>$E$3</f>
        <v>2</v>
      </c>
      <c r="M8" s="27">
        <f>$F$18-$F$3-$F$4</f>
        <v>47</v>
      </c>
      <c r="N8">
        <f t="shared" si="0"/>
        <v>752</v>
      </c>
      <c r="P8" s="7"/>
      <c r="Q8" s="7"/>
      <c r="R8" s="7"/>
      <c r="T8" s="7"/>
      <c r="U8" s="46" t="s">
        <v>310</v>
      </c>
      <c r="V8" s="47">
        <f>$B$18-$B$13*NumRows</f>
        <v>33</v>
      </c>
      <c r="W8" s="47">
        <f>$C$13*NumRows</f>
        <v>3</v>
      </c>
      <c r="X8" s="47">
        <f>$D$13*NumRows</f>
        <v>3</v>
      </c>
      <c r="Y8" s="47">
        <f>$E$13*NumRows</f>
        <v>3</v>
      </c>
      <c r="Z8" s="47">
        <f>$F$13*NumRows</f>
        <v>3</v>
      </c>
      <c r="AA8" s="47">
        <f>PRODUCT(V8:Z8)</f>
        <v>2673</v>
      </c>
      <c r="AB8" s="9">
        <f>AA8/$B$19</f>
        <v>2.5485196961958581E-5</v>
      </c>
      <c r="AC8" s="9">
        <f t="shared" si="5"/>
        <v>1.274259848097929E-4</v>
      </c>
      <c r="AD8" s="9">
        <f t="shared" si="6"/>
        <v>1.2742598480979291E-5</v>
      </c>
      <c r="AF8" s="49" t="s">
        <v>349</v>
      </c>
      <c r="AG8">
        <f t="shared" ref="AG8:AG11" si="10">POWER($AG$2,4)*POWER($AH$2,1)</f>
        <v>8.1920000000000048E-2</v>
      </c>
      <c r="AH8">
        <f t="shared" si="9"/>
        <v>81920.000000000044</v>
      </c>
    </row>
    <row r="9" spans="1:34">
      <c r="A9" t="s">
        <v>9</v>
      </c>
      <c r="B9" s="40">
        <v>7</v>
      </c>
      <c r="C9" s="8">
        <v>2</v>
      </c>
      <c r="D9" s="40">
        <v>2</v>
      </c>
      <c r="E9" s="8">
        <v>7</v>
      </c>
      <c r="F9" s="40">
        <v>6</v>
      </c>
      <c r="H9" s="8" t="s">
        <v>37</v>
      </c>
      <c r="I9" s="43">
        <f>B3+B4</f>
        <v>4</v>
      </c>
      <c r="J9" s="43">
        <f t="shared" ref="J9:K9" si="11">C3+C4</f>
        <v>3</v>
      </c>
      <c r="K9" s="43">
        <f t="shared" si="11"/>
        <v>8</v>
      </c>
      <c r="L9" s="43">
        <f>$E$18-$E$4-$E$3</f>
        <v>40</v>
      </c>
      <c r="M9" s="43">
        <f>F18</f>
        <v>52</v>
      </c>
      <c r="N9" s="8">
        <f t="shared" ref="N9:N10" si="12">PRODUCT(I9:M9)</f>
        <v>199680</v>
      </c>
      <c r="O9" s="8">
        <f>N9-N10</f>
        <v>183040</v>
      </c>
      <c r="P9" s="9">
        <f>O9/B$19</f>
        <v>1.7451591664485217E-3</v>
      </c>
      <c r="Q9" s="9">
        <f>P9*$A$22</f>
        <v>3.4903183328970432E-2</v>
      </c>
      <c r="R9" s="9">
        <f>Q9*$D$26</f>
        <v>0.13961273331588173</v>
      </c>
      <c r="S9" s="52">
        <f>R9/$B$22</f>
        <v>1.3961273331588173E-2</v>
      </c>
      <c r="U9" s="48"/>
      <c r="V9" s="47"/>
      <c r="W9" s="47"/>
      <c r="X9" s="47"/>
      <c r="Y9" s="47"/>
      <c r="Z9" s="47"/>
      <c r="AA9" s="47"/>
      <c r="AB9" s="9">
        <f>SUM(AB4:AB8)</f>
        <v>1.4673295220521607E-4</v>
      </c>
      <c r="AC9" s="9">
        <f t="shared" si="5"/>
        <v>7.3366476102608034E-4</v>
      </c>
      <c r="AD9" s="9">
        <f t="shared" si="6"/>
        <v>7.3366476102608037E-5</v>
      </c>
      <c r="AF9" s="49" t="s">
        <v>350</v>
      </c>
      <c r="AG9">
        <f t="shared" si="10"/>
        <v>8.1920000000000048E-2</v>
      </c>
      <c r="AH9">
        <f t="shared" si="9"/>
        <v>81920.000000000044</v>
      </c>
    </row>
    <row r="10" spans="1:34">
      <c r="A10" s="8" t="s">
        <v>10</v>
      </c>
      <c r="B10" s="40">
        <v>7</v>
      </c>
      <c r="C10" s="8">
        <v>2</v>
      </c>
      <c r="D10" s="40">
        <v>2</v>
      </c>
      <c r="E10" s="8">
        <v>2</v>
      </c>
      <c r="F10" s="40">
        <v>6</v>
      </c>
      <c r="H10" s="8" t="s">
        <v>287</v>
      </c>
      <c r="I10" s="43">
        <f>B3</f>
        <v>2</v>
      </c>
      <c r="J10" s="43">
        <f t="shared" ref="J10:K10" si="13">C3</f>
        <v>2</v>
      </c>
      <c r="K10" s="43">
        <f t="shared" si="13"/>
        <v>2</v>
      </c>
      <c r="L10" s="43">
        <f>$E$18-$E$4-$E$3</f>
        <v>40</v>
      </c>
      <c r="M10" s="43">
        <f>F18</f>
        <v>52</v>
      </c>
      <c r="N10" s="8">
        <f t="shared" si="12"/>
        <v>16640</v>
      </c>
      <c r="O10" s="8"/>
      <c r="P10" s="9"/>
      <c r="Q10" s="9"/>
      <c r="R10" s="9"/>
      <c r="S10" s="52"/>
      <c r="V10" s="45"/>
      <c r="W10" s="45"/>
      <c r="X10" s="45"/>
      <c r="Y10" s="45"/>
      <c r="Z10" s="45"/>
      <c r="AA10" s="45"/>
      <c r="AB10" s="7"/>
      <c r="AC10" s="7"/>
      <c r="AD10" s="7"/>
      <c r="AF10" s="49" t="s">
        <v>351</v>
      </c>
      <c r="AG10">
        <f t="shared" si="10"/>
        <v>8.1920000000000048E-2</v>
      </c>
      <c r="AH10">
        <f t="shared" si="9"/>
        <v>81920.000000000044</v>
      </c>
    </row>
    <row r="11" spans="1:34">
      <c r="A11" t="s">
        <v>11</v>
      </c>
      <c r="B11" s="40">
        <v>2</v>
      </c>
      <c r="C11" s="8">
        <v>6</v>
      </c>
      <c r="D11" s="40">
        <v>0</v>
      </c>
      <c r="E11" s="8">
        <v>8</v>
      </c>
      <c r="F11" s="40">
        <v>6</v>
      </c>
      <c r="H11" t="s">
        <v>38</v>
      </c>
      <c r="I11">
        <f>B3+B5</f>
        <v>5</v>
      </c>
      <c r="J11">
        <f t="shared" ref="J11:M11" si="14">C3+C5</f>
        <v>4</v>
      </c>
      <c r="K11">
        <f t="shared" si="14"/>
        <v>6</v>
      </c>
      <c r="L11">
        <f t="shared" si="14"/>
        <v>6</v>
      </c>
      <c r="M11">
        <f t="shared" si="14"/>
        <v>6</v>
      </c>
      <c r="N11">
        <f>PRODUCT(I11:M11)</f>
        <v>4320</v>
      </c>
      <c r="O11">
        <f>N11-N12</f>
        <v>4288</v>
      </c>
      <c r="P11" s="7">
        <f>O11/$B$19</f>
        <v>4.0883099353863971E-5</v>
      </c>
      <c r="Q11" s="7">
        <f>P11*$A$22</f>
        <v>8.1766198707727941E-4</v>
      </c>
      <c r="R11" s="7">
        <f>Q11*INDEX(Paytable,3,1)</f>
        <v>4.0883099353863972E-2</v>
      </c>
      <c r="S11" s="51">
        <f>R11/$B$22</f>
        <v>4.0883099353863969E-3</v>
      </c>
      <c r="U11" s="46" t="s">
        <v>312</v>
      </c>
      <c r="V11" s="47">
        <f>$B$13*NumRows</f>
        <v>3</v>
      </c>
      <c r="W11" s="47">
        <f>$C$13*NumRows</f>
        <v>3</v>
      </c>
      <c r="X11" s="47">
        <f>$D$13*NumRows</f>
        <v>3</v>
      </c>
      <c r="Y11" s="47">
        <f>$E$18-$E$13*NumRows</f>
        <v>43</v>
      </c>
      <c r="Z11" s="47">
        <f>$F$18-$F$13*NumRows</f>
        <v>49</v>
      </c>
      <c r="AA11" s="47">
        <f>PRODUCT(V11:Z11)</f>
        <v>56889</v>
      </c>
      <c r="AB11" s="9">
        <f>AA11/$B$19</f>
        <v>5.4239707069542154E-4</v>
      </c>
      <c r="AC11" s="9">
        <f>AB11*$D$35</f>
        <v>5.4239707069542154E-4</v>
      </c>
      <c r="AD11" s="9">
        <f>AC11/$B$22</f>
        <v>5.4239707069542151E-5</v>
      </c>
      <c r="AF11" s="49" t="s">
        <v>352</v>
      </c>
      <c r="AG11">
        <f t="shared" si="10"/>
        <v>8.1920000000000048E-2</v>
      </c>
      <c r="AH11">
        <f t="shared" si="9"/>
        <v>81920.000000000044</v>
      </c>
    </row>
    <row r="12" spans="1:34">
      <c r="A12" s="8" t="s">
        <v>12</v>
      </c>
      <c r="B12" s="40">
        <v>2</v>
      </c>
      <c r="C12" s="8">
        <v>6</v>
      </c>
      <c r="D12" s="40">
        <v>0</v>
      </c>
      <c r="E12" s="8">
        <v>4</v>
      </c>
      <c r="F12" s="40">
        <v>6</v>
      </c>
      <c r="H12" t="s">
        <v>283</v>
      </c>
      <c r="I12">
        <f>B3</f>
        <v>2</v>
      </c>
      <c r="J12">
        <f t="shared" ref="J12:M12" si="15">C3</f>
        <v>2</v>
      </c>
      <c r="K12">
        <f t="shared" si="15"/>
        <v>2</v>
      </c>
      <c r="L12">
        <f t="shared" si="15"/>
        <v>2</v>
      </c>
      <c r="M12">
        <f t="shared" si="15"/>
        <v>2</v>
      </c>
      <c r="N12">
        <f t="shared" ref="N12:N22" si="16">PRODUCT(I12:M12)</f>
        <v>32</v>
      </c>
      <c r="P12" s="7"/>
      <c r="Q12" s="7"/>
      <c r="R12" s="7"/>
      <c r="U12" s="46" t="s">
        <v>313</v>
      </c>
      <c r="V12" s="47">
        <f>$B$13*NumRows</f>
        <v>3</v>
      </c>
      <c r="W12" s="47">
        <f>$C$13*NumRows</f>
        <v>3</v>
      </c>
      <c r="X12" s="47">
        <f>$D$18-$D$13*NumRows</f>
        <v>26</v>
      </c>
      <c r="Y12" s="47">
        <f>$E$13*NumRows</f>
        <v>3</v>
      </c>
      <c r="Z12" s="47">
        <f>$F$18-$F$13*NumRows</f>
        <v>49</v>
      </c>
      <c r="AA12" s="47">
        <f>PRODUCT(V12:Z12)</f>
        <v>34398</v>
      </c>
      <c r="AB12" s="9">
        <f>AA12/$B$19</f>
        <v>3.2796101949025488E-4</v>
      </c>
      <c r="AC12" s="9">
        <f>AB12*$D$35</f>
        <v>3.2796101949025488E-4</v>
      </c>
      <c r="AD12" s="9">
        <f>AC12/$B$22</f>
        <v>3.2796101949025491E-5</v>
      </c>
    </row>
    <row r="13" spans="1:34">
      <c r="A13" t="s">
        <v>20</v>
      </c>
      <c r="B13" s="40">
        <v>1</v>
      </c>
      <c r="C13" s="8">
        <v>1</v>
      </c>
      <c r="D13" s="40">
        <v>1</v>
      </c>
      <c r="E13" s="8">
        <v>1</v>
      </c>
      <c r="F13" s="40">
        <v>1</v>
      </c>
      <c r="H13" s="8" t="s">
        <v>39</v>
      </c>
      <c r="I13" s="8">
        <f>B3+B5</f>
        <v>5</v>
      </c>
      <c r="J13" s="8">
        <f t="shared" ref="J13:L13" si="17">C3+C5</f>
        <v>4</v>
      </c>
      <c r="K13" s="8">
        <f t="shared" si="17"/>
        <v>6</v>
      </c>
      <c r="L13" s="8">
        <f t="shared" si="17"/>
        <v>6</v>
      </c>
      <c r="M13" s="8">
        <f>$F$18-$F$3-$F$5</f>
        <v>46</v>
      </c>
      <c r="N13" s="8">
        <f t="shared" si="16"/>
        <v>33120</v>
      </c>
      <c r="O13" s="8">
        <f>N13-N14</f>
        <v>32384</v>
      </c>
      <c r="P13" s="9">
        <f>O13/$B$19</f>
        <v>3.0875892944858463E-4</v>
      </c>
      <c r="Q13" s="9">
        <f>P13*$A$22</f>
        <v>6.1751785889716925E-3</v>
      </c>
      <c r="R13" s="9">
        <f>Q13*INDEX(Paytable,3,2)</f>
        <v>7.4102143067660303E-2</v>
      </c>
      <c r="S13" s="52">
        <f>R13/$B$22</f>
        <v>7.4102143067660301E-3</v>
      </c>
      <c r="U13" s="46" t="s">
        <v>314</v>
      </c>
      <c r="V13" s="47">
        <f>$B$13*NumRows</f>
        <v>3</v>
      </c>
      <c r="W13" s="47">
        <f>$C$18-$C$13*NumRows</f>
        <v>39</v>
      </c>
      <c r="X13" s="47">
        <f>$E$13*NumRows</f>
        <v>3</v>
      </c>
      <c r="Y13" s="47">
        <f>$E$13*NumRows</f>
        <v>3</v>
      </c>
      <c r="Z13" s="47">
        <f>$F$18-$F$13*NumRows</f>
        <v>49</v>
      </c>
      <c r="AA13" s="47">
        <f>PRODUCT(V13:Z13)</f>
        <v>51597</v>
      </c>
      <c r="AB13" s="9">
        <f>AA13/$B$19</f>
        <v>4.9194152923538227E-4</v>
      </c>
      <c r="AC13" s="9">
        <f>AB13*$D$35</f>
        <v>4.9194152923538227E-4</v>
      </c>
      <c r="AD13" s="9">
        <f>AC13/$B$22</f>
        <v>4.919415292353823E-5</v>
      </c>
      <c r="AF13" s="49" t="s">
        <v>338</v>
      </c>
      <c r="AG13">
        <f>POWER($AG$2,3)*POWER($AH$2,2)</f>
        <v>2.0480000000000009E-2</v>
      </c>
      <c r="AH13">
        <f t="shared" si="9"/>
        <v>20480.000000000007</v>
      </c>
    </row>
    <row r="14" spans="1:34">
      <c r="A14" s="8" t="s">
        <v>21</v>
      </c>
      <c r="B14" s="40">
        <v>1</v>
      </c>
      <c r="C14" s="8">
        <v>1</v>
      </c>
      <c r="D14" s="40">
        <v>1</v>
      </c>
      <c r="E14" s="8">
        <v>1</v>
      </c>
      <c r="F14" s="40">
        <v>1</v>
      </c>
      <c r="H14" s="8" t="s">
        <v>290</v>
      </c>
      <c r="I14" s="8">
        <f>B3</f>
        <v>2</v>
      </c>
      <c r="J14" s="8">
        <f t="shared" ref="J14:L14" si="18">C3</f>
        <v>2</v>
      </c>
      <c r="K14" s="8">
        <f t="shared" si="18"/>
        <v>2</v>
      </c>
      <c r="L14" s="8">
        <f t="shared" si="18"/>
        <v>2</v>
      </c>
      <c r="M14" s="8">
        <f>$F$18-$F$3-$F$5</f>
        <v>46</v>
      </c>
      <c r="N14" s="8">
        <f t="shared" si="16"/>
        <v>736</v>
      </c>
      <c r="O14" s="8"/>
      <c r="P14" s="9"/>
      <c r="Q14" s="9"/>
      <c r="R14" s="9"/>
      <c r="S14" s="52"/>
      <c r="U14" s="46" t="s">
        <v>315</v>
      </c>
      <c r="V14" s="47">
        <f>$B$18-$B$13*NumRows</f>
        <v>33</v>
      </c>
      <c r="W14" s="47">
        <f>$C$13*NumRows</f>
        <v>3</v>
      </c>
      <c r="X14" s="47">
        <f>$E$13*NumRows</f>
        <v>3</v>
      </c>
      <c r="Y14" s="47">
        <f>$E$13*NumRows</f>
        <v>3</v>
      </c>
      <c r="Z14" s="47">
        <f>$F$18-$F$13*NumRows</f>
        <v>49</v>
      </c>
      <c r="AA14" s="47">
        <f>PRODUCT(V14:Z14)</f>
        <v>43659</v>
      </c>
      <c r="AB14" s="9">
        <f>AA14/$B$19</f>
        <v>4.1625821704532347E-4</v>
      </c>
      <c r="AC14" s="9">
        <f>AB14*$D$35</f>
        <v>4.1625821704532347E-4</v>
      </c>
      <c r="AD14" s="9">
        <f>AC14/$B$22</f>
        <v>4.1625821704532347E-5</v>
      </c>
      <c r="AF14" s="49" t="s">
        <v>339</v>
      </c>
      <c r="AG14">
        <f t="shared" ref="AG14:AG22" si="19">POWER($AG$2,3)*POWER($AH$2,2)</f>
        <v>2.0480000000000009E-2</v>
      </c>
      <c r="AH14">
        <f t="shared" si="9"/>
        <v>20480.000000000007</v>
      </c>
    </row>
    <row r="15" spans="1:34">
      <c r="A15" t="s">
        <v>68</v>
      </c>
      <c r="B15" s="40">
        <v>0</v>
      </c>
      <c r="C15" s="8">
        <v>0</v>
      </c>
      <c r="D15" s="40">
        <v>0</v>
      </c>
      <c r="E15" s="8">
        <v>0</v>
      </c>
      <c r="F15" s="40">
        <v>0</v>
      </c>
      <c r="H15" t="s">
        <v>40</v>
      </c>
      <c r="I15">
        <f>B3+B5</f>
        <v>5</v>
      </c>
      <c r="J15">
        <f t="shared" ref="J15:K15" si="20">C3+C5</f>
        <v>4</v>
      </c>
      <c r="K15">
        <f t="shared" si="20"/>
        <v>6</v>
      </c>
      <c r="L15">
        <f>$E$18-$E$3-$E$5</f>
        <v>40</v>
      </c>
      <c r="M15">
        <f>$F$18</f>
        <v>52</v>
      </c>
      <c r="N15">
        <f t="shared" si="16"/>
        <v>249600</v>
      </c>
      <c r="O15">
        <f>N15-N16</f>
        <v>232960</v>
      </c>
      <c r="P15" s="7">
        <f>O15/$B$19</f>
        <v>2.2211116663890277E-3</v>
      </c>
      <c r="Q15" s="7">
        <f>P15*$A$22</f>
        <v>4.4422233327780558E-2</v>
      </c>
      <c r="R15" s="7">
        <f>Q15*INDEX(Paytable,3,3)</f>
        <v>8.8844466655561116E-2</v>
      </c>
      <c r="S15" s="51">
        <f>R15/$B$22</f>
        <v>8.8844466655561109E-3</v>
      </c>
      <c r="U15" s="46"/>
      <c r="V15" s="47"/>
      <c r="W15" s="47"/>
      <c r="X15" s="47"/>
      <c r="Y15" s="47"/>
      <c r="Z15" s="47"/>
      <c r="AA15" s="47"/>
      <c r="AB15" s="9"/>
      <c r="AC15" s="9"/>
      <c r="AD15" s="9"/>
      <c r="AF15" s="49" t="s">
        <v>340</v>
      </c>
      <c r="AG15">
        <f t="shared" si="19"/>
        <v>2.0480000000000009E-2</v>
      </c>
      <c r="AH15">
        <f t="shared" si="9"/>
        <v>20480.000000000007</v>
      </c>
    </row>
    <row r="16" spans="1:34">
      <c r="A16" s="8" t="s">
        <v>69</v>
      </c>
      <c r="B16" s="40">
        <v>0</v>
      </c>
      <c r="C16" s="8">
        <v>0</v>
      </c>
      <c r="D16" s="40">
        <v>0</v>
      </c>
      <c r="E16" s="8">
        <v>0</v>
      </c>
      <c r="F16" s="40">
        <v>0</v>
      </c>
      <c r="H16" t="s">
        <v>289</v>
      </c>
      <c r="I16">
        <f>B3</f>
        <v>2</v>
      </c>
      <c r="J16">
        <f t="shared" ref="J16:K16" si="21">C3</f>
        <v>2</v>
      </c>
      <c r="K16">
        <f t="shared" si="21"/>
        <v>2</v>
      </c>
      <c r="L16">
        <f>$E$18-$E$3-$E$5</f>
        <v>40</v>
      </c>
      <c r="M16">
        <f>$F$18</f>
        <v>52</v>
      </c>
      <c r="N16">
        <f t="shared" si="16"/>
        <v>16640</v>
      </c>
      <c r="P16" s="7"/>
      <c r="Q16" s="7"/>
      <c r="R16" s="7"/>
      <c r="U16" s="46" t="s">
        <v>316</v>
      </c>
      <c r="V16" s="47">
        <f>$B$13*NumRows</f>
        <v>3</v>
      </c>
      <c r="W16" s="47">
        <f>$C$13*NumRows</f>
        <v>3</v>
      </c>
      <c r="X16" s="47">
        <f>$D$18-$D$13*NumRows</f>
        <v>26</v>
      </c>
      <c r="Y16" s="47">
        <f>$E$18-$E$13*NumRows</f>
        <v>43</v>
      </c>
      <c r="Z16" s="47">
        <f>$F$13*NumRows</f>
        <v>3</v>
      </c>
      <c r="AA16" s="47">
        <f>PRODUCT(V16:Z16)</f>
        <v>30186</v>
      </c>
      <c r="AB16" s="9">
        <f>AA16/$B$19</f>
        <v>2.8780252730777468E-4</v>
      </c>
      <c r="AC16" s="9">
        <f>AB16*$D$35</f>
        <v>2.8780252730777468E-4</v>
      </c>
      <c r="AD16" s="9">
        <f>AC16/$B$22</f>
        <v>2.8780252730777467E-5</v>
      </c>
      <c r="AF16" s="49" t="s">
        <v>341</v>
      </c>
      <c r="AG16">
        <f t="shared" si="19"/>
        <v>2.0480000000000009E-2</v>
      </c>
      <c r="AH16">
        <f t="shared" si="9"/>
        <v>20480.000000000007</v>
      </c>
    </row>
    <row r="17" spans="1:34">
      <c r="A17" t="s">
        <v>70</v>
      </c>
      <c r="B17" s="40">
        <v>0</v>
      </c>
      <c r="C17" s="8">
        <v>0</v>
      </c>
      <c r="D17" s="40">
        <v>0</v>
      </c>
      <c r="E17" s="8">
        <v>0</v>
      </c>
      <c r="F17" s="40">
        <v>0</v>
      </c>
      <c r="H17" s="8" t="s">
        <v>41</v>
      </c>
      <c r="I17" s="8">
        <f>B3+B6</f>
        <v>5</v>
      </c>
      <c r="J17" s="8">
        <f t="shared" ref="J17:M17" si="22">C3+C6</f>
        <v>5</v>
      </c>
      <c r="K17" s="8">
        <f t="shared" si="22"/>
        <v>7</v>
      </c>
      <c r="L17" s="8">
        <f t="shared" si="22"/>
        <v>5</v>
      </c>
      <c r="M17" s="8">
        <f t="shared" si="22"/>
        <v>8</v>
      </c>
      <c r="N17" s="8">
        <f t="shared" si="16"/>
        <v>7000</v>
      </c>
      <c r="O17" s="8">
        <f>N17-N18</f>
        <v>6968</v>
      </c>
      <c r="P17" s="9">
        <f>O17/$B$19</f>
        <v>6.6435036450028959E-5</v>
      </c>
      <c r="Q17" s="9">
        <f>P17*$A$22</f>
        <v>1.3287007290005792E-3</v>
      </c>
      <c r="R17" s="9">
        <f>Q17*$B$28</f>
        <v>6.6435036450028961E-2</v>
      </c>
      <c r="S17" s="52">
        <f>R17/$B$22</f>
        <v>6.643503645002896E-3</v>
      </c>
      <c r="U17" s="46" t="s">
        <v>317</v>
      </c>
      <c r="V17" s="47">
        <f>$B$13*NumRows</f>
        <v>3</v>
      </c>
      <c r="W17" s="47">
        <f>$C$18-$C$13*NumRows</f>
        <v>39</v>
      </c>
      <c r="X17" s="47">
        <f>$E$13*NumRows</f>
        <v>3</v>
      </c>
      <c r="Y17" s="47">
        <f>$E$18-$E$13*NumRows</f>
        <v>43</v>
      </c>
      <c r="Z17" s="47">
        <f>$F$13*NumRows</f>
        <v>3</v>
      </c>
      <c r="AA17" s="47">
        <f t="shared" ref="AA17:AA18" si="23">PRODUCT(V17:Z17)</f>
        <v>45279</v>
      </c>
      <c r="AB17" s="9">
        <f t="shared" ref="AB17:AB23" si="24">AA17/$B$19</f>
        <v>4.3170379096166202E-4</v>
      </c>
      <c r="AC17" s="9">
        <f t="shared" ref="AC17:AC23" si="25">AB17*$D$35</f>
        <v>4.3170379096166202E-4</v>
      </c>
      <c r="AD17" s="9">
        <f t="shared" ref="AD17:AD23" si="26">AC17/$B$22</f>
        <v>4.3170379096166204E-5</v>
      </c>
      <c r="AF17" s="49" t="s">
        <v>342</v>
      </c>
      <c r="AG17">
        <f t="shared" si="19"/>
        <v>2.0480000000000009E-2</v>
      </c>
      <c r="AH17">
        <f t="shared" si="9"/>
        <v>20480.000000000007</v>
      </c>
    </row>
    <row r="18" spans="1:34">
      <c r="A18" s="1" t="s">
        <v>22</v>
      </c>
      <c r="B18" s="5">
        <f>SUM(B3:B17)</f>
        <v>36</v>
      </c>
      <c r="C18" s="5">
        <f t="shared" ref="C18:F18" si="27">SUM(C3:C17)</f>
        <v>42</v>
      </c>
      <c r="D18" s="5">
        <f t="shared" si="27"/>
        <v>29</v>
      </c>
      <c r="E18" s="5">
        <f t="shared" si="27"/>
        <v>46</v>
      </c>
      <c r="F18" s="5">
        <f t="shared" si="27"/>
        <v>52</v>
      </c>
      <c r="H18" s="8" t="s">
        <v>283</v>
      </c>
      <c r="I18" s="8">
        <f>B3</f>
        <v>2</v>
      </c>
      <c r="J18" s="8">
        <f t="shared" ref="J18:M18" si="28">C3</f>
        <v>2</v>
      </c>
      <c r="K18" s="8">
        <f t="shared" si="28"/>
        <v>2</v>
      </c>
      <c r="L18" s="8">
        <f t="shared" si="28"/>
        <v>2</v>
      </c>
      <c r="M18" s="8">
        <f t="shared" si="28"/>
        <v>2</v>
      </c>
      <c r="N18" s="8">
        <f t="shared" si="16"/>
        <v>32</v>
      </c>
      <c r="O18" s="8"/>
      <c r="P18" s="9"/>
      <c r="Q18" s="9"/>
      <c r="R18" s="9"/>
      <c r="S18" s="52"/>
      <c r="U18" s="46" t="s">
        <v>318</v>
      </c>
      <c r="V18" s="47">
        <f>$B$18-$B$13*NumRows</f>
        <v>33</v>
      </c>
      <c r="W18" s="47">
        <f>$C$13*NumRows</f>
        <v>3</v>
      </c>
      <c r="X18" s="47">
        <f>$E$13*NumRows</f>
        <v>3</v>
      </c>
      <c r="Y18" s="47">
        <f>$E$18-$E$13*NumRows</f>
        <v>43</v>
      </c>
      <c r="Z18" s="47">
        <f>$F$13*NumRows</f>
        <v>3</v>
      </c>
      <c r="AA18" s="47">
        <f t="shared" si="23"/>
        <v>38313</v>
      </c>
      <c r="AB18" s="9">
        <f t="shared" si="24"/>
        <v>3.6528782312140632E-4</v>
      </c>
      <c r="AC18" s="9">
        <f t="shared" si="25"/>
        <v>3.6528782312140632E-4</v>
      </c>
      <c r="AD18" s="9">
        <f t="shared" si="26"/>
        <v>3.6528782312140632E-5</v>
      </c>
      <c r="AF18" s="49" t="s">
        <v>343</v>
      </c>
      <c r="AG18">
        <f t="shared" si="19"/>
        <v>2.0480000000000009E-2</v>
      </c>
      <c r="AH18">
        <f t="shared" si="9"/>
        <v>20480.000000000007</v>
      </c>
    </row>
    <row r="19" spans="1:34">
      <c r="A19" s="1" t="s">
        <v>33</v>
      </c>
      <c r="B19" s="54">
        <f>PRODUCT(B18:F18)</f>
        <v>104884416</v>
      </c>
      <c r="C19" s="54"/>
      <c r="D19" s="54"/>
      <c r="E19" s="54"/>
      <c r="F19" s="54"/>
      <c r="H19" t="s">
        <v>42</v>
      </c>
      <c r="I19">
        <f>B3+B6</f>
        <v>5</v>
      </c>
      <c r="J19">
        <f t="shared" ref="J19:L19" si="29">C3+C6</f>
        <v>5</v>
      </c>
      <c r="K19">
        <f t="shared" si="29"/>
        <v>7</v>
      </c>
      <c r="L19">
        <f t="shared" si="29"/>
        <v>5</v>
      </c>
      <c r="M19">
        <f>$F$18-$F$3-$F$6</f>
        <v>44</v>
      </c>
      <c r="N19">
        <f t="shared" si="16"/>
        <v>38500</v>
      </c>
      <c r="O19">
        <f>N19-N20</f>
        <v>37796</v>
      </c>
      <c r="P19" s="7">
        <f>O19/$B$19</f>
        <v>3.6035858749501929E-4</v>
      </c>
      <c r="Q19" s="7">
        <f>P19*$A$22</f>
        <v>7.2071717499003858E-3</v>
      </c>
      <c r="R19" s="7">
        <f>Q19*$C$28</f>
        <v>8.6486060998804626E-2</v>
      </c>
      <c r="S19" s="51">
        <f>R19/$B$22</f>
        <v>8.6486060998804629E-3</v>
      </c>
      <c r="U19" s="46"/>
      <c r="V19" s="47"/>
      <c r="W19" s="47"/>
      <c r="X19" s="47"/>
      <c r="Y19" s="47"/>
      <c r="Z19" s="47"/>
      <c r="AA19" s="47"/>
      <c r="AB19" s="8"/>
      <c r="AC19" s="8"/>
      <c r="AD19" s="9"/>
      <c r="AF19" s="49" t="s">
        <v>344</v>
      </c>
      <c r="AG19">
        <f t="shared" si="19"/>
        <v>2.0480000000000009E-2</v>
      </c>
      <c r="AH19">
        <f t="shared" si="9"/>
        <v>20480.000000000007</v>
      </c>
    </row>
    <row r="20" spans="1:34">
      <c r="A20" s="39"/>
      <c r="B20" s="6"/>
      <c r="H20" t="s">
        <v>291</v>
      </c>
      <c r="I20">
        <f>B3</f>
        <v>2</v>
      </c>
      <c r="J20">
        <f t="shared" ref="J20:L20" si="30">C3</f>
        <v>2</v>
      </c>
      <c r="K20">
        <f t="shared" si="30"/>
        <v>2</v>
      </c>
      <c r="L20">
        <f t="shared" si="30"/>
        <v>2</v>
      </c>
      <c r="M20">
        <f>$F$18-$F$3-$F$6</f>
        <v>44</v>
      </c>
      <c r="N20">
        <f t="shared" si="16"/>
        <v>704</v>
      </c>
      <c r="P20" s="7"/>
      <c r="Q20" s="7"/>
      <c r="R20" s="7"/>
      <c r="U20" s="46" t="s">
        <v>319</v>
      </c>
      <c r="V20" s="47">
        <f>$B$13*NumRows</f>
        <v>3</v>
      </c>
      <c r="W20" s="47">
        <f>$C$18-$C$13*NumRows</f>
        <v>39</v>
      </c>
      <c r="X20" s="47">
        <f>$D$18-$D$13*NumRows</f>
        <v>26</v>
      </c>
      <c r="Y20" s="47">
        <f>$E$13*NumRows</f>
        <v>3</v>
      </c>
      <c r="Z20" s="47">
        <f>$F$13*NumRows</f>
        <v>3</v>
      </c>
      <c r="AA20" s="47">
        <f t="shared" ref="AA20" si="31">PRODUCT(V20:Z20)</f>
        <v>27378</v>
      </c>
      <c r="AB20" s="9">
        <f t="shared" si="24"/>
        <v>2.6103019918612125E-4</v>
      </c>
      <c r="AC20" s="9">
        <f t="shared" si="25"/>
        <v>2.6103019918612125E-4</v>
      </c>
      <c r="AD20" s="9">
        <f t="shared" si="26"/>
        <v>2.6103019918612126E-5</v>
      </c>
      <c r="AF20" s="49" t="s">
        <v>345</v>
      </c>
      <c r="AG20">
        <f t="shared" si="19"/>
        <v>2.0480000000000009E-2</v>
      </c>
      <c r="AH20">
        <f t="shared" si="9"/>
        <v>20480.000000000007</v>
      </c>
    </row>
    <row r="21" spans="1:34">
      <c r="A21" s="3" t="s">
        <v>30</v>
      </c>
      <c r="B21" s="3" t="s">
        <v>34</v>
      </c>
      <c r="D21" s="1" t="s">
        <v>311</v>
      </c>
      <c r="H21" s="8" t="s">
        <v>43</v>
      </c>
      <c r="I21" s="8">
        <f>B3+B6</f>
        <v>5</v>
      </c>
      <c r="J21" s="8">
        <f t="shared" ref="J21:K21" si="32">C3+C6</f>
        <v>5</v>
      </c>
      <c r="K21" s="8">
        <f t="shared" si="32"/>
        <v>7</v>
      </c>
      <c r="L21" s="8">
        <f>$E$18-$E$3-$E$6</f>
        <v>41</v>
      </c>
      <c r="M21" s="8">
        <f>$F$18</f>
        <v>52</v>
      </c>
      <c r="N21" s="8">
        <f t="shared" si="16"/>
        <v>373100</v>
      </c>
      <c r="O21" s="8">
        <f>N21-N22</f>
        <v>356044</v>
      </c>
      <c r="P21" s="9">
        <f>O21/$B$19</f>
        <v>3.3946320490548377E-3</v>
      </c>
      <c r="Q21" s="9">
        <f>P21*$A$22</f>
        <v>6.789264098109675E-2</v>
      </c>
      <c r="R21" s="9">
        <f>Q21*$D$28</f>
        <v>0.1357852819621935</v>
      </c>
      <c r="S21" s="52">
        <f>R21/$B$22</f>
        <v>1.3578528196219349E-2</v>
      </c>
      <c r="U21" s="46" t="s">
        <v>320</v>
      </c>
      <c r="V21" s="47">
        <f>$B$18-$B$13*NumRows</f>
        <v>33</v>
      </c>
      <c r="W21" s="47">
        <f>$C$13*NumRows</f>
        <v>3</v>
      </c>
      <c r="X21" s="47">
        <f>$D$18-$D$13*NumRows</f>
        <v>26</v>
      </c>
      <c r="Y21" s="47">
        <f>$E$13*NumRows</f>
        <v>3</v>
      </c>
      <c r="Z21" s="47">
        <f>$F$13*NumRows</f>
        <v>3</v>
      </c>
      <c r="AA21" s="47">
        <f t="shared" ref="AA21:AA23" si="33">PRODUCT(V21:Z21)</f>
        <v>23166</v>
      </c>
      <c r="AB21" s="9">
        <f t="shared" si="24"/>
        <v>2.2087170700364105E-4</v>
      </c>
      <c r="AC21" s="9">
        <f t="shared" si="25"/>
        <v>2.2087170700364105E-4</v>
      </c>
      <c r="AD21" s="9">
        <f t="shared" si="26"/>
        <v>2.2087170700364106E-5</v>
      </c>
      <c r="AF21" s="49" t="s">
        <v>346</v>
      </c>
      <c r="AG21">
        <f t="shared" si="19"/>
        <v>2.0480000000000009E-2</v>
      </c>
      <c r="AH21">
        <f t="shared" si="9"/>
        <v>20480.000000000007</v>
      </c>
    </row>
    <row r="22" spans="1:34">
      <c r="A22">
        <v>20</v>
      </c>
      <c r="B22">
        <v>10</v>
      </c>
      <c r="D22">
        <v>3</v>
      </c>
      <c r="H22" s="8" t="s">
        <v>292</v>
      </c>
      <c r="I22" s="8">
        <f>B3</f>
        <v>2</v>
      </c>
      <c r="J22" s="8">
        <f t="shared" ref="J22:K22" si="34">C3</f>
        <v>2</v>
      </c>
      <c r="K22" s="8">
        <f t="shared" si="34"/>
        <v>2</v>
      </c>
      <c r="L22" s="8">
        <f>$E$18-$E$3-$E$6</f>
        <v>41</v>
      </c>
      <c r="M22" s="8">
        <f>$F$18</f>
        <v>52</v>
      </c>
      <c r="N22" s="8">
        <f t="shared" si="16"/>
        <v>17056</v>
      </c>
      <c r="O22" s="8"/>
      <c r="P22" s="9"/>
      <c r="Q22" s="9"/>
      <c r="R22" s="9"/>
      <c r="S22" s="52"/>
      <c r="U22" s="8"/>
      <c r="V22" s="47"/>
      <c r="W22" s="47"/>
      <c r="X22" s="47"/>
      <c r="Y22" s="47"/>
      <c r="Z22" s="47"/>
      <c r="AA22" s="47"/>
      <c r="AB22" s="9"/>
      <c r="AC22" s="9"/>
      <c r="AD22" s="9"/>
      <c r="AF22" s="49" t="s">
        <v>347</v>
      </c>
      <c r="AG22">
        <f t="shared" si="19"/>
        <v>2.0480000000000009E-2</v>
      </c>
      <c r="AH22">
        <f t="shared" si="9"/>
        <v>20480.000000000007</v>
      </c>
    </row>
    <row r="23" spans="1:34">
      <c r="H23" t="s">
        <v>44</v>
      </c>
      <c r="I23">
        <f>B3+B7</f>
        <v>4</v>
      </c>
      <c r="J23">
        <f t="shared" ref="J23:M23" si="35">C3+C7</f>
        <v>10</v>
      </c>
      <c r="K23">
        <f t="shared" si="35"/>
        <v>4</v>
      </c>
      <c r="L23">
        <f t="shared" si="35"/>
        <v>6</v>
      </c>
      <c r="M23">
        <f t="shared" si="35"/>
        <v>8</v>
      </c>
      <c r="N23">
        <f t="shared" ref="N23:N24" si="36">PRODUCT(I23:M23)</f>
        <v>7680</v>
      </c>
      <c r="O23">
        <f>N23-N24</f>
        <v>7648</v>
      </c>
      <c r="P23" s="7">
        <f>O23/$B$19</f>
        <v>7.2918363772936492E-5</v>
      </c>
      <c r="Q23" s="7">
        <f>P23*$A$22</f>
        <v>1.45836727545873E-3</v>
      </c>
      <c r="R23" s="7">
        <f>Q23*$B$29</f>
        <v>7.2918363772936493E-2</v>
      </c>
      <c r="S23" s="51">
        <f>R23/$B$22</f>
        <v>7.2918363772936489E-3</v>
      </c>
      <c r="U23" s="46" t="s">
        <v>321</v>
      </c>
      <c r="V23" s="47">
        <f>$B$18-$B$13*NumRows</f>
        <v>33</v>
      </c>
      <c r="W23" s="47">
        <f>$C$18-$C$13*NumRows</f>
        <v>39</v>
      </c>
      <c r="X23" s="47">
        <f>$E$13*NumRows</f>
        <v>3</v>
      </c>
      <c r="Y23" s="47">
        <f>$E$13*NumRows</f>
        <v>3</v>
      </c>
      <c r="Z23" s="47">
        <f>$F$13*NumRows</f>
        <v>3</v>
      </c>
      <c r="AA23" s="47">
        <f t="shared" si="33"/>
        <v>34749</v>
      </c>
      <c r="AB23" s="9">
        <f t="shared" si="24"/>
        <v>3.3130756050546157E-4</v>
      </c>
      <c r="AC23" s="9">
        <f t="shared" si="25"/>
        <v>3.3130756050546157E-4</v>
      </c>
      <c r="AD23" s="9">
        <f t="shared" si="26"/>
        <v>3.313075605054616E-5</v>
      </c>
    </row>
    <row r="24" spans="1:34">
      <c r="A24" s="1" t="s">
        <v>0</v>
      </c>
      <c r="B24" s="1" t="s">
        <v>1</v>
      </c>
      <c r="C24" s="1" t="s">
        <v>2</v>
      </c>
      <c r="D24" s="1" t="s">
        <v>3</v>
      </c>
      <c r="H24" t="s">
        <v>283</v>
      </c>
      <c r="I24">
        <f>B3</f>
        <v>2</v>
      </c>
      <c r="J24">
        <f t="shared" ref="J24:M24" si="37">C3</f>
        <v>2</v>
      </c>
      <c r="K24">
        <f t="shared" si="37"/>
        <v>2</v>
      </c>
      <c r="L24">
        <f t="shared" si="37"/>
        <v>2</v>
      </c>
      <c r="M24">
        <f t="shared" si="37"/>
        <v>2</v>
      </c>
      <c r="N24">
        <f t="shared" si="36"/>
        <v>32</v>
      </c>
      <c r="P24" s="7"/>
      <c r="Q24" s="7"/>
      <c r="R24" s="7"/>
      <c r="U24" s="8"/>
      <c r="V24" s="47"/>
      <c r="W24" s="47"/>
      <c r="X24" s="47"/>
      <c r="Y24" s="47"/>
      <c r="Z24" s="47"/>
      <c r="AA24" s="47"/>
      <c r="AB24" s="9">
        <f>SUM(AB11:AB23)</f>
        <v>3.6765614445524487E-3</v>
      </c>
      <c r="AC24" s="9">
        <f t="shared" ref="AC24:AD24" si="38">SUM(AC11:AC23)</f>
        <v>3.6765614445524487E-3</v>
      </c>
      <c r="AD24" s="9">
        <f t="shared" si="38"/>
        <v>3.6765614445524497E-4</v>
      </c>
      <c r="AF24" s="49" t="s">
        <v>328</v>
      </c>
      <c r="AG24">
        <f>POWER($AG$2,2)*POWER($AH$2,3)</f>
        <v>5.1200000000000022E-3</v>
      </c>
      <c r="AH24">
        <f t="shared" si="9"/>
        <v>5120.0000000000018</v>
      </c>
    </row>
    <row r="25" spans="1:34">
      <c r="A25" t="s">
        <v>19</v>
      </c>
      <c r="B25" s="2">
        <v>300</v>
      </c>
      <c r="C25" s="2">
        <v>25</v>
      </c>
      <c r="D25" s="2">
        <v>4</v>
      </c>
      <c r="H25" s="8" t="s">
        <v>45</v>
      </c>
      <c r="I25" s="8">
        <f>$B$3+$B$7</f>
        <v>4</v>
      </c>
      <c r="J25" s="8">
        <f>$C$3+$C$7</f>
        <v>10</v>
      </c>
      <c r="K25" s="8">
        <f>$D$3+$D$7</f>
        <v>4</v>
      </c>
      <c r="L25" s="8">
        <f>$E$3+$E$7</f>
        <v>6</v>
      </c>
      <c r="M25" s="8">
        <f>$F$18-$F$3-$F$7</f>
        <v>44</v>
      </c>
      <c r="N25" s="8">
        <f t="shared" ref="N25:N26" si="39">PRODUCT(I25:M25)</f>
        <v>42240</v>
      </c>
      <c r="O25" s="8">
        <f>N25-N26</f>
        <v>41536</v>
      </c>
      <c r="P25" s="9">
        <f>O25/$B$19</f>
        <v>3.9601688777101069E-4</v>
      </c>
      <c r="Q25" s="9">
        <f>P25*$A$22</f>
        <v>7.9203377554202137E-3</v>
      </c>
      <c r="R25" s="9">
        <f>Q25*$C$29</f>
        <v>9.5044053065042572E-2</v>
      </c>
      <c r="S25" s="52">
        <f>R25/$B$22</f>
        <v>9.5044053065042565E-3</v>
      </c>
      <c r="V25" s="45"/>
      <c r="W25" s="45"/>
      <c r="X25" s="45"/>
      <c r="Y25" s="45"/>
      <c r="Z25" s="45"/>
      <c r="AA25" s="45"/>
      <c r="AD25" s="7"/>
      <c r="AF25" s="49" t="s">
        <v>329</v>
      </c>
      <c r="AG25">
        <f t="shared" ref="AG25:AG33" si="40">POWER($AG$2,2)*POWER($AH$2,3)</f>
        <v>5.1200000000000022E-3</v>
      </c>
      <c r="AH25">
        <f t="shared" si="9"/>
        <v>5120.0000000000018</v>
      </c>
    </row>
    <row r="26" spans="1:34">
      <c r="A26" s="8" t="s">
        <v>4</v>
      </c>
      <c r="B26" s="44">
        <v>75</v>
      </c>
      <c r="C26" s="44">
        <v>25</v>
      </c>
      <c r="D26" s="44">
        <v>4</v>
      </c>
      <c r="H26" s="8" t="s">
        <v>293</v>
      </c>
      <c r="I26" s="8">
        <f>B3</f>
        <v>2</v>
      </c>
      <c r="J26" s="8">
        <f t="shared" ref="J26:L26" si="41">C3</f>
        <v>2</v>
      </c>
      <c r="K26" s="8">
        <f t="shared" si="41"/>
        <v>2</v>
      </c>
      <c r="L26" s="8">
        <f t="shared" si="41"/>
        <v>2</v>
      </c>
      <c r="M26" s="8">
        <f>$F$18-$F$3-$F$7</f>
        <v>44</v>
      </c>
      <c r="N26" s="8">
        <f t="shared" si="39"/>
        <v>704</v>
      </c>
      <c r="O26" s="8"/>
      <c r="P26" s="9"/>
      <c r="Q26" s="9"/>
      <c r="R26" s="9"/>
      <c r="S26" s="52"/>
      <c r="AD26" s="7"/>
      <c r="AF26" s="49" t="s">
        <v>330</v>
      </c>
      <c r="AG26">
        <f t="shared" si="40"/>
        <v>5.1200000000000022E-3</v>
      </c>
      <c r="AH26">
        <f t="shared" si="9"/>
        <v>5120.0000000000018</v>
      </c>
    </row>
    <row r="27" spans="1:34">
      <c r="A27" t="s">
        <v>5</v>
      </c>
      <c r="B27" s="2">
        <v>50</v>
      </c>
      <c r="C27" s="2">
        <v>12</v>
      </c>
      <c r="D27" s="2">
        <v>2</v>
      </c>
      <c r="H27" t="s">
        <v>46</v>
      </c>
      <c r="I27">
        <f>B3+B7</f>
        <v>4</v>
      </c>
      <c r="J27">
        <f t="shared" ref="J27:K27" si="42">C3+C7</f>
        <v>10</v>
      </c>
      <c r="K27">
        <f t="shared" si="42"/>
        <v>4</v>
      </c>
      <c r="L27">
        <f>$E$18-$E$3-$E$7</f>
        <v>40</v>
      </c>
      <c r="M27">
        <f>$F$18</f>
        <v>52</v>
      </c>
      <c r="N27">
        <f t="shared" ref="N27:N28" si="43">PRODUCT(I27:M27)</f>
        <v>332800</v>
      </c>
      <c r="O27">
        <f>N27-N28</f>
        <v>316160</v>
      </c>
      <c r="P27" s="7">
        <f>O27/$B$19</f>
        <v>3.0143658329565377E-3</v>
      </c>
      <c r="Q27" s="7">
        <f>P27*$A$22</f>
        <v>6.0287316659130757E-2</v>
      </c>
      <c r="R27" s="7">
        <f>Q27*$D$29</f>
        <v>0.12057463331826151</v>
      </c>
      <c r="S27" s="51">
        <f>R27/$B$22</f>
        <v>1.2057463331826151E-2</v>
      </c>
      <c r="U27" s="3" t="s">
        <v>323</v>
      </c>
      <c r="V27" s="3" t="s">
        <v>322</v>
      </c>
      <c r="W27" s="3" t="s">
        <v>22</v>
      </c>
      <c r="AD27" s="7"/>
      <c r="AF27" s="49" t="s">
        <v>331</v>
      </c>
      <c r="AG27">
        <f t="shared" si="40"/>
        <v>5.1200000000000022E-3</v>
      </c>
      <c r="AH27">
        <f t="shared" si="9"/>
        <v>5120.0000000000018</v>
      </c>
    </row>
    <row r="28" spans="1:34">
      <c r="A28" s="8" t="s">
        <v>6</v>
      </c>
      <c r="B28" s="44">
        <v>50</v>
      </c>
      <c r="C28" s="44">
        <v>12</v>
      </c>
      <c r="D28" s="44">
        <v>2</v>
      </c>
      <c r="H28" t="s">
        <v>294</v>
      </c>
      <c r="I28">
        <f>B3</f>
        <v>2</v>
      </c>
      <c r="J28">
        <f t="shared" ref="J28:K28" si="44">C3</f>
        <v>2</v>
      </c>
      <c r="K28">
        <f t="shared" si="44"/>
        <v>2</v>
      </c>
      <c r="L28">
        <f>$E$18-$E$3-$E$7</f>
        <v>40</v>
      </c>
      <c r="M28">
        <f>$F$18</f>
        <v>52</v>
      </c>
      <c r="N28">
        <f t="shared" si="43"/>
        <v>16640</v>
      </c>
      <c r="P28" s="7"/>
      <c r="Q28" s="7"/>
      <c r="R28" s="7"/>
      <c r="U28" s="7">
        <f>S59</f>
        <v>0.22064349388187474</v>
      </c>
      <c r="V28" s="7">
        <f>AD2+AD9+AD24</f>
        <v>4.5260680099510692E-4</v>
      </c>
      <c r="W28" s="7">
        <f>U28+V28</f>
        <v>0.22109610068286983</v>
      </c>
      <c r="AD28" s="7"/>
      <c r="AF28" s="49" t="s">
        <v>332</v>
      </c>
      <c r="AG28">
        <f t="shared" si="40"/>
        <v>5.1200000000000022E-3</v>
      </c>
      <c r="AH28">
        <f t="shared" si="9"/>
        <v>5120.0000000000018</v>
      </c>
    </row>
    <row r="29" spans="1:34">
      <c r="A29" t="s">
        <v>7</v>
      </c>
      <c r="B29" s="2">
        <v>50</v>
      </c>
      <c r="C29" s="2">
        <v>12</v>
      </c>
      <c r="D29" s="2">
        <v>2</v>
      </c>
      <c r="H29" s="8" t="s">
        <v>47</v>
      </c>
      <c r="I29" s="8">
        <f>B3+B8</f>
        <v>6</v>
      </c>
      <c r="J29" s="8">
        <f t="shared" ref="J29:M29" si="45">C3+C8</f>
        <v>10</v>
      </c>
      <c r="K29" s="8">
        <f t="shared" si="45"/>
        <v>6</v>
      </c>
      <c r="L29" s="8">
        <f t="shared" si="45"/>
        <v>8</v>
      </c>
      <c r="M29" s="8">
        <f t="shared" si="45"/>
        <v>7</v>
      </c>
      <c r="N29" s="8">
        <f t="shared" ref="N29:N30" si="46">PRODUCT(I29:M29)</f>
        <v>20160</v>
      </c>
      <c r="O29" s="8">
        <f>N29-N30</f>
        <v>20128</v>
      </c>
      <c r="P29" s="9">
        <f>O29/$B$19</f>
        <v>1.9190648875806298E-4</v>
      </c>
      <c r="Q29" s="9">
        <f>P29*$A$22</f>
        <v>3.8381297751612599E-3</v>
      </c>
      <c r="R29" s="9">
        <f>Q29*$B$30</f>
        <v>0.1535251910064504</v>
      </c>
      <c r="S29" s="52">
        <f>R29/$B$22</f>
        <v>1.5352519100645039E-2</v>
      </c>
      <c r="U29" s="7">
        <v>0.22064349388187399</v>
      </c>
      <c r="V29" s="7">
        <v>4.52606800995106E-4</v>
      </c>
      <c r="W29" s="7">
        <v>0.221096100682869</v>
      </c>
      <c r="AD29" s="7"/>
      <c r="AF29" s="49" t="s">
        <v>333</v>
      </c>
      <c r="AG29">
        <f t="shared" si="40"/>
        <v>5.1200000000000022E-3</v>
      </c>
      <c r="AH29">
        <f t="shared" si="9"/>
        <v>5120.0000000000018</v>
      </c>
    </row>
    <row r="30" spans="1:34">
      <c r="A30" s="8" t="s">
        <v>8</v>
      </c>
      <c r="B30" s="44">
        <v>40</v>
      </c>
      <c r="C30" s="44">
        <v>7</v>
      </c>
      <c r="D30" s="44">
        <v>2</v>
      </c>
      <c r="H30" s="8" t="s">
        <v>283</v>
      </c>
      <c r="I30" s="8">
        <f>B3</f>
        <v>2</v>
      </c>
      <c r="J30" s="8">
        <f t="shared" ref="J30:M30" si="47">C3</f>
        <v>2</v>
      </c>
      <c r="K30" s="8">
        <f t="shared" si="47"/>
        <v>2</v>
      </c>
      <c r="L30" s="8">
        <f t="shared" si="47"/>
        <v>2</v>
      </c>
      <c r="M30" s="8">
        <f t="shared" si="47"/>
        <v>2</v>
      </c>
      <c r="N30" s="8">
        <f t="shared" si="46"/>
        <v>32</v>
      </c>
      <c r="O30" s="8"/>
      <c r="P30" s="9"/>
      <c r="Q30" s="9"/>
      <c r="R30" s="9"/>
      <c r="S30" s="52"/>
      <c r="AD30" s="7"/>
      <c r="AF30" s="49" t="s">
        <v>334</v>
      </c>
      <c r="AG30">
        <f t="shared" si="40"/>
        <v>5.1200000000000022E-3</v>
      </c>
      <c r="AH30">
        <f t="shared" si="9"/>
        <v>5120.0000000000018</v>
      </c>
    </row>
    <row r="31" spans="1:34">
      <c r="A31" t="s">
        <v>9</v>
      </c>
      <c r="B31" s="2">
        <v>25</v>
      </c>
      <c r="C31" s="2">
        <v>5</v>
      </c>
      <c r="D31" s="2">
        <v>2</v>
      </c>
      <c r="H31" t="s">
        <v>48</v>
      </c>
      <c r="I31">
        <f>B3+B8</f>
        <v>6</v>
      </c>
      <c r="J31">
        <f t="shared" ref="J31:L31" si="48">C3+C8</f>
        <v>10</v>
      </c>
      <c r="K31">
        <f t="shared" si="48"/>
        <v>6</v>
      </c>
      <c r="L31">
        <f t="shared" si="48"/>
        <v>8</v>
      </c>
      <c r="M31">
        <f>$F$18-$F$3-$F$8</f>
        <v>45</v>
      </c>
      <c r="N31">
        <f t="shared" ref="N31:N32" si="49">PRODUCT(I31:M31)</f>
        <v>129600</v>
      </c>
      <c r="O31">
        <f>N31-N32</f>
        <v>128880</v>
      </c>
      <c r="P31" s="7">
        <f>O31/$B$19</f>
        <v>1.22878121378871E-3</v>
      </c>
      <c r="Q31" s="7">
        <f>P31*$A$22</f>
        <v>2.4575624275774199E-2</v>
      </c>
      <c r="R31" s="7">
        <f>Q31*$C$30</f>
        <v>0.1720293699304194</v>
      </c>
      <c r="S31" s="51">
        <f>R31/$B$22</f>
        <v>1.7202936993041939E-2</v>
      </c>
      <c r="AD31" s="7"/>
      <c r="AF31" s="49" t="s">
        <v>335</v>
      </c>
      <c r="AG31">
        <f t="shared" si="40"/>
        <v>5.1200000000000022E-3</v>
      </c>
      <c r="AH31">
        <f t="shared" si="9"/>
        <v>5120.0000000000018</v>
      </c>
    </row>
    <row r="32" spans="1:34">
      <c r="A32" s="8" t="s">
        <v>10</v>
      </c>
      <c r="B32" s="44">
        <v>25</v>
      </c>
      <c r="C32" s="44">
        <v>5</v>
      </c>
      <c r="D32" s="44">
        <v>2</v>
      </c>
      <c r="H32" t="s">
        <v>295</v>
      </c>
      <c r="I32">
        <f>B3</f>
        <v>2</v>
      </c>
      <c r="J32">
        <f t="shared" ref="J32:L32" si="50">C3</f>
        <v>2</v>
      </c>
      <c r="K32">
        <f t="shared" si="50"/>
        <v>2</v>
      </c>
      <c r="L32">
        <f t="shared" si="50"/>
        <v>2</v>
      </c>
      <c r="M32">
        <f>$F$18-$F$3-$F$8</f>
        <v>45</v>
      </c>
      <c r="N32">
        <f t="shared" si="49"/>
        <v>720</v>
      </c>
      <c r="P32" s="7"/>
      <c r="Q32" s="7"/>
      <c r="R32" s="7"/>
      <c r="AD32" s="7"/>
      <c r="AF32" s="49" t="s">
        <v>336</v>
      </c>
      <c r="AG32">
        <f t="shared" si="40"/>
        <v>5.1200000000000022E-3</v>
      </c>
      <c r="AH32">
        <f t="shared" si="9"/>
        <v>5120.0000000000018</v>
      </c>
    </row>
    <row r="33" spans="1:34">
      <c r="A33" t="s">
        <v>11</v>
      </c>
      <c r="B33" s="2">
        <v>25</v>
      </c>
      <c r="C33" s="2">
        <v>5</v>
      </c>
      <c r="D33" s="2">
        <v>2</v>
      </c>
      <c r="H33" s="8" t="s">
        <v>49</v>
      </c>
      <c r="I33" s="8">
        <f>B3+B8</f>
        <v>6</v>
      </c>
      <c r="J33" s="8">
        <f t="shared" ref="J33:K33" si="51">C3+C8</f>
        <v>10</v>
      </c>
      <c r="K33" s="8">
        <f t="shared" si="51"/>
        <v>6</v>
      </c>
      <c r="L33" s="8">
        <f>$E$18-$E$3-$E$8</f>
        <v>38</v>
      </c>
      <c r="M33" s="8">
        <f>$F$18</f>
        <v>52</v>
      </c>
      <c r="N33" s="8">
        <f t="shared" ref="N33:N34" si="52">PRODUCT(I33:M33)</f>
        <v>711360</v>
      </c>
      <c r="O33" s="8">
        <f>N33-N34</f>
        <v>695552</v>
      </c>
      <c r="P33" s="9">
        <f>O33/$B$19</f>
        <v>6.6316048325043824E-3</v>
      </c>
      <c r="Q33" s="9">
        <f>P33*$A$22</f>
        <v>0.13263209665008766</v>
      </c>
      <c r="R33" s="9">
        <f>Q33*$D$30</f>
        <v>0.26526419330017531</v>
      </c>
      <c r="S33" s="52">
        <f>R33/$B$22</f>
        <v>2.652641933001753E-2</v>
      </c>
      <c r="AD33" s="7"/>
      <c r="AF33" s="49" t="s">
        <v>337</v>
      </c>
      <c r="AG33">
        <f t="shared" si="40"/>
        <v>5.1200000000000022E-3</v>
      </c>
      <c r="AH33">
        <f t="shared" si="9"/>
        <v>5120.0000000000018</v>
      </c>
    </row>
    <row r="34" spans="1:34">
      <c r="A34" s="8" t="s">
        <v>12</v>
      </c>
      <c r="B34" s="44">
        <v>25</v>
      </c>
      <c r="C34" s="44">
        <v>5</v>
      </c>
      <c r="D34" s="44">
        <v>2</v>
      </c>
      <c r="H34" s="8" t="s">
        <v>296</v>
      </c>
      <c r="I34" s="8">
        <f>B3</f>
        <v>2</v>
      </c>
      <c r="J34" s="8">
        <f t="shared" ref="J34:K34" si="53">C3</f>
        <v>2</v>
      </c>
      <c r="K34" s="8">
        <f t="shared" si="53"/>
        <v>2</v>
      </c>
      <c r="L34" s="8">
        <f>$E$18-$E$3-$E$8</f>
        <v>38</v>
      </c>
      <c r="M34" s="8">
        <f>$F$18</f>
        <v>52</v>
      </c>
      <c r="N34" s="8">
        <f t="shared" si="52"/>
        <v>15808</v>
      </c>
      <c r="O34" s="8"/>
      <c r="P34" s="9"/>
      <c r="Q34" s="9"/>
      <c r="R34" s="9"/>
      <c r="S34" s="52"/>
      <c r="AD34" s="7"/>
    </row>
    <row r="35" spans="1:34">
      <c r="A35" t="s">
        <v>20</v>
      </c>
      <c r="B35" s="2">
        <v>50</v>
      </c>
      <c r="C35" s="2">
        <v>5</v>
      </c>
      <c r="D35" s="2">
        <v>1</v>
      </c>
      <c r="H35" t="s">
        <v>50</v>
      </c>
      <c r="I35">
        <f>B3+B9</f>
        <v>9</v>
      </c>
      <c r="J35">
        <f t="shared" ref="J35:M35" si="54">C3+C9</f>
        <v>4</v>
      </c>
      <c r="K35">
        <f t="shared" si="54"/>
        <v>4</v>
      </c>
      <c r="L35">
        <f t="shared" si="54"/>
        <v>9</v>
      </c>
      <c r="M35">
        <f t="shared" si="54"/>
        <v>8</v>
      </c>
      <c r="N35">
        <f t="shared" ref="N35:N36" si="55">PRODUCT(I35:M35)</f>
        <v>10368</v>
      </c>
      <c r="O35">
        <f>N35-N36</f>
        <v>10336</v>
      </c>
      <c r="P35" s="7">
        <f>O35/$B$19</f>
        <v>9.8546575308194504E-5</v>
      </c>
      <c r="Q35" s="7">
        <f>P35*$A$22</f>
        <v>1.9709315061638899E-3</v>
      </c>
      <c r="R35" s="7">
        <f>Q35*$B$31</f>
        <v>4.9273287654097248E-2</v>
      </c>
      <c r="S35" s="51">
        <f>R35/$B$22</f>
        <v>4.9273287654097251E-3</v>
      </c>
      <c r="AD35" s="7"/>
      <c r="AF35" s="49" t="s">
        <v>353</v>
      </c>
      <c r="AG35">
        <f>POWER($AG$2,1)*POWER($AH$2,4)</f>
        <v>1.2800000000000008E-3</v>
      </c>
      <c r="AH35">
        <f t="shared" si="9"/>
        <v>1280.0000000000007</v>
      </c>
    </row>
    <row r="36" spans="1:34">
      <c r="H36" t="s">
        <v>283</v>
      </c>
      <c r="I36">
        <f>B3</f>
        <v>2</v>
      </c>
      <c r="J36">
        <f t="shared" ref="J36:M36" si="56">C3</f>
        <v>2</v>
      </c>
      <c r="K36">
        <f t="shared" si="56"/>
        <v>2</v>
      </c>
      <c r="L36">
        <f t="shared" si="56"/>
        <v>2</v>
      </c>
      <c r="M36">
        <f t="shared" si="56"/>
        <v>2</v>
      </c>
      <c r="N36">
        <f t="shared" si="55"/>
        <v>32</v>
      </c>
      <c r="P36" s="7"/>
      <c r="Q36" s="7"/>
      <c r="R36" s="7"/>
      <c r="AD36" s="7"/>
      <c r="AF36" s="49" t="s">
        <v>354</v>
      </c>
      <c r="AG36">
        <f t="shared" ref="AG36:AG39" si="57">POWER($AG$2,1)*POWER($AH$2,4)</f>
        <v>1.2800000000000008E-3</v>
      </c>
      <c r="AH36">
        <f t="shared" si="9"/>
        <v>1280.0000000000007</v>
      </c>
    </row>
    <row r="37" spans="1:34">
      <c r="H37" s="8" t="s">
        <v>51</v>
      </c>
      <c r="I37" s="8">
        <f>B3+B9</f>
        <v>9</v>
      </c>
      <c r="J37" s="8">
        <f t="shared" ref="J37:L37" si="58">C3+C9</f>
        <v>4</v>
      </c>
      <c r="K37" s="8">
        <f t="shared" si="58"/>
        <v>4</v>
      </c>
      <c r="L37" s="8">
        <f t="shared" si="58"/>
        <v>9</v>
      </c>
      <c r="M37" s="8">
        <f>$F$18-$F$3-$F$9</f>
        <v>44</v>
      </c>
      <c r="N37" s="8">
        <f t="shared" ref="N37:N38" si="59">PRODUCT(I37:M37)</f>
        <v>57024</v>
      </c>
      <c r="O37" s="8">
        <f>N37-N38</f>
        <v>56320</v>
      </c>
      <c r="P37" s="9">
        <f>O37/$B$19</f>
        <v>5.3697205121492979E-4</v>
      </c>
      <c r="Q37" s="9">
        <f>P37*$A$22</f>
        <v>1.0739441024298597E-2</v>
      </c>
      <c r="R37" s="9">
        <f>Q37*$C$31</f>
        <v>5.369720512149298E-2</v>
      </c>
      <c r="S37" s="52">
        <f>R37/$B$22</f>
        <v>5.3697205121492984E-3</v>
      </c>
      <c r="AD37" s="7"/>
      <c r="AF37" s="49" t="s">
        <v>355</v>
      </c>
      <c r="AG37">
        <f t="shared" si="57"/>
        <v>1.2800000000000008E-3</v>
      </c>
      <c r="AH37">
        <f t="shared" si="9"/>
        <v>1280.0000000000007</v>
      </c>
    </row>
    <row r="38" spans="1:34">
      <c r="H38" s="8" t="s">
        <v>297</v>
      </c>
      <c r="I38" s="8">
        <f>B3</f>
        <v>2</v>
      </c>
      <c r="J38" s="8">
        <f t="shared" ref="J38:L38" si="60">C3</f>
        <v>2</v>
      </c>
      <c r="K38" s="8">
        <f t="shared" si="60"/>
        <v>2</v>
      </c>
      <c r="L38" s="8">
        <f t="shared" si="60"/>
        <v>2</v>
      </c>
      <c r="M38" s="8">
        <f>$F$18-$F$3-$F$9</f>
        <v>44</v>
      </c>
      <c r="N38" s="8">
        <f t="shared" si="59"/>
        <v>704</v>
      </c>
      <c r="O38" s="8"/>
      <c r="P38" s="9"/>
      <c r="Q38" s="9"/>
      <c r="R38" s="9"/>
      <c r="S38" s="52"/>
      <c r="AD38" s="7"/>
      <c r="AF38" s="49" t="s">
        <v>356</v>
      </c>
      <c r="AG38">
        <f t="shared" si="57"/>
        <v>1.2800000000000008E-3</v>
      </c>
      <c r="AH38">
        <f t="shared" si="9"/>
        <v>1280.0000000000007</v>
      </c>
    </row>
    <row r="39" spans="1:34">
      <c r="H39" t="s">
        <v>52</v>
      </c>
      <c r="I39">
        <f>B3+B9</f>
        <v>9</v>
      </c>
      <c r="J39">
        <f t="shared" ref="J39:K39" si="61">C3+C9</f>
        <v>4</v>
      </c>
      <c r="K39">
        <f t="shared" si="61"/>
        <v>4</v>
      </c>
      <c r="L39">
        <f>$E$18-$E$3-$E$9</f>
        <v>37</v>
      </c>
      <c r="M39">
        <f>$F$18</f>
        <v>52</v>
      </c>
      <c r="N39">
        <f t="shared" ref="N39:N40" si="62">PRODUCT(I39:M39)</f>
        <v>277056</v>
      </c>
      <c r="O39">
        <f>N39-N40</f>
        <v>261664</v>
      </c>
      <c r="P39" s="7">
        <f>O39/$B$19</f>
        <v>2.4947843538548186E-3</v>
      </c>
      <c r="Q39" s="7">
        <f>P39*$A$22</f>
        <v>4.9895687077096372E-2</v>
      </c>
      <c r="R39" s="7">
        <f>Q39*$D$31</f>
        <v>9.9791374154192744E-2</v>
      </c>
      <c r="S39" s="51">
        <f>R39/$B$22</f>
        <v>9.9791374154192744E-3</v>
      </c>
      <c r="U39" s="7"/>
      <c r="AD39" s="7"/>
      <c r="AF39" s="49" t="s">
        <v>357</v>
      </c>
      <c r="AG39">
        <f t="shared" si="57"/>
        <v>1.2800000000000008E-3</v>
      </c>
      <c r="AH39">
        <f t="shared" si="9"/>
        <v>1280.0000000000007</v>
      </c>
    </row>
    <row r="40" spans="1:34">
      <c r="H40" t="s">
        <v>298</v>
      </c>
      <c r="I40">
        <f>B3</f>
        <v>2</v>
      </c>
      <c r="J40">
        <f t="shared" ref="J40:K40" si="63">C3</f>
        <v>2</v>
      </c>
      <c r="K40">
        <f t="shared" si="63"/>
        <v>2</v>
      </c>
      <c r="L40">
        <f>$E$18-$E$3-$E$9</f>
        <v>37</v>
      </c>
      <c r="M40">
        <f>$F$18</f>
        <v>52</v>
      </c>
      <c r="N40">
        <f t="shared" si="62"/>
        <v>15392</v>
      </c>
      <c r="P40" s="7"/>
      <c r="Q40" s="7"/>
      <c r="R40" s="7"/>
      <c r="AD40" s="7"/>
    </row>
    <row r="41" spans="1:34">
      <c r="H41" s="8" t="s">
        <v>53</v>
      </c>
      <c r="I41" s="8">
        <f>B3+B10</f>
        <v>9</v>
      </c>
      <c r="J41" s="8">
        <f t="shared" ref="J41:M41" si="64">C3+C10</f>
        <v>4</v>
      </c>
      <c r="K41" s="8">
        <f t="shared" si="64"/>
        <v>4</v>
      </c>
      <c r="L41" s="8">
        <f t="shared" si="64"/>
        <v>4</v>
      </c>
      <c r="M41" s="8">
        <f t="shared" si="64"/>
        <v>8</v>
      </c>
      <c r="N41" s="8">
        <f t="shared" ref="N41:N42" si="65">PRODUCT(I41:M41)</f>
        <v>4608</v>
      </c>
      <c r="O41" s="8">
        <f>N41-N42</f>
        <v>4576</v>
      </c>
      <c r="P41" s="9">
        <f>O41/$B$19</f>
        <v>4.3628979161213044E-5</v>
      </c>
      <c r="Q41" s="9">
        <f>P41*$A$22</f>
        <v>8.7257958322426083E-4</v>
      </c>
      <c r="R41" s="9">
        <f>Q41*$B$32</f>
        <v>2.1814489580606521E-2</v>
      </c>
      <c r="S41" s="52">
        <f>R41/$B$22</f>
        <v>2.181448958060652E-3</v>
      </c>
      <c r="AD41" s="7"/>
      <c r="AF41" s="49" t="s">
        <v>327</v>
      </c>
      <c r="AG41">
        <f>POWER($AH$2, 5)</f>
        <v>3.2000000000000019E-4</v>
      </c>
      <c r="AH41">
        <f t="shared" si="9"/>
        <v>320.00000000000017</v>
      </c>
    </row>
    <row r="42" spans="1:34">
      <c r="H42" s="8" t="s">
        <v>283</v>
      </c>
      <c r="I42" s="8">
        <f>B3</f>
        <v>2</v>
      </c>
      <c r="J42" s="8">
        <f t="shared" ref="J42:M42" si="66">C3</f>
        <v>2</v>
      </c>
      <c r="K42" s="8">
        <f t="shared" si="66"/>
        <v>2</v>
      </c>
      <c r="L42" s="8">
        <f t="shared" si="66"/>
        <v>2</v>
      </c>
      <c r="M42" s="8">
        <f t="shared" si="66"/>
        <v>2</v>
      </c>
      <c r="N42" s="8">
        <f t="shared" si="65"/>
        <v>32</v>
      </c>
      <c r="O42" s="8"/>
      <c r="P42" s="9"/>
      <c r="Q42" s="9"/>
      <c r="R42" s="9"/>
      <c r="S42" s="52"/>
      <c r="AG42">
        <f>SUM(AG5:AG41)</f>
        <v>1.0000000000000009</v>
      </c>
      <c r="AH42">
        <f>SUM(AH5:AH41)</f>
        <v>1000000.0000000003</v>
      </c>
    </row>
    <row r="43" spans="1:34">
      <c r="H43" t="s">
        <v>54</v>
      </c>
      <c r="I43">
        <f>B3+B10</f>
        <v>9</v>
      </c>
      <c r="J43">
        <f t="shared" ref="J43:L43" si="67">C3+C10</f>
        <v>4</v>
      </c>
      <c r="K43">
        <f t="shared" si="67"/>
        <v>4</v>
      </c>
      <c r="L43">
        <f t="shared" si="67"/>
        <v>4</v>
      </c>
      <c r="M43">
        <f>$F$18-$F$3-$F$10</f>
        <v>44</v>
      </c>
      <c r="N43">
        <f t="shared" ref="N43:N44" si="68">PRODUCT(I43:M43)</f>
        <v>25344</v>
      </c>
      <c r="O43">
        <f>N43-N44</f>
        <v>24640</v>
      </c>
      <c r="P43" s="7">
        <f>O43/$B$19</f>
        <v>2.3492527240653177E-4</v>
      </c>
      <c r="Q43" s="7">
        <f>P43*$A$22</f>
        <v>4.6985054481306354E-3</v>
      </c>
      <c r="R43" s="7">
        <f>Q43*$C$32</f>
        <v>2.3492527240653177E-2</v>
      </c>
      <c r="S43" s="51">
        <f>R43/$B$22</f>
        <v>2.3492527240653177E-3</v>
      </c>
    </row>
    <row r="44" spans="1:34">
      <c r="H44" t="s">
        <v>299</v>
      </c>
      <c r="I44">
        <f>B3</f>
        <v>2</v>
      </c>
      <c r="J44">
        <f t="shared" ref="J44:L44" si="69">C3</f>
        <v>2</v>
      </c>
      <c r="K44">
        <f t="shared" si="69"/>
        <v>2</v>
      </c>
      <c r="L44">
        <f t="shared" si="69"/>
        <v>2</v>
      </c>
      <c r="M44">
        <f>$F$18-$F$3-$F$10</f>
        <v>44</v>
      </c>
      <c r="N44">
        <f t="shared" si="68"/>
        <v>704</v>
      </c>
      <c r="P44" s="7"/>
      <c r="Q44" s="7"/>
      <c r="R44" s="7"/>
    </row>
    <row r="45" spans="1:34">
      <c r="H45" s="8" t="s">
        <v>55</v>
      </c>
      <c r="I45" s="8">
        <f>B3+B10</f>
        <v>9</v>
      </c>
      <c r="J45" s="8">
        <f t="shared" ref="J45:K45" si="70">C3+C10</f>
        <v>4</v>
      </c>
      <c r="K45" s="8">
        <f t="shared" si="70"/>
        <v>4</v>
      </c>
      <c r="L45" s="8">
        <f>$E$18-$E$3-$E$10</f>
        <v>42</v>
      </c>
      <c r="M45" s="8">
        <f>$F$18</f>
        <v>52</v>
      </c>
      <c r="N45" s="8">
        <f t="shared" ref="N45:N46" si="71">PRODUCT(I45:M45)</f>
        <v>314496</v>
      </c>
      <c r="O45" s="8">
        <f>N45-N46</f>
        <v>297024</v>
      </c>
      <c r="P45" s="9">
        <f>O45/$B$19</f>
        <v>2.8319173746460102E-3</v>
      </c>
      <c r="Q45" s="9">
        <f>P45*$A$22</f>
        <v>5.6638347492920203E-2</v>
      </c>
      <c r="R45" s="9">
        <f>Q45*$D$32</f>
        <v>0.11327669498584041</v>
      </c>
      <c r="S45" s="52">
        <f>R45/$B$22</f>
        <v>1.1327669498584041E-2</v>
      </c>
    </row>
    <row r="46" spans="1:34">
      <c r="H46" s="8" t="s">
        <v>300</v>
      </c>
      <c r="I46" s="8">
        <f>B3</f>
        <v>2</v>
      </c>
      <c r="J46" s="8">
        <f t="shared" ref="J46:K46" si="72">C3</f>
        <v>2</v>
      </c>
      <c r="K46" s="8">
        <f t="shared" si="72"/>
        <v>2</v>
      </c>
      <c r="L46" s="8">
        <f>$E$18-$E$3-$E$10</f>
        <v>42</v>
      </c>
      <c r="M46" s="8">
        <f>$F$18</f>
        <v>52</v>
      </c>
      <c r="N46" s="8">
        <f t="shared" si="71"/>
        <v>17472</v>
      </c>
      <c r="O46" s="8"/>
      <c r="P46" s="9"/>
      <c r="Q46" s="9"/>
      <c r="R46" s="9"/>
      <c r="S46" s="52"/>
    </row>
    <row r="47" spans="1:34">
      <c r="H47" t="s">
        <v>56</v>
      </c>
      <c r="I47">
        <f>B3+B11</f>
        <v>4</v>
      </c>
      <c r="J47">
        <f t="shared" ref="J47:M47" si="73">C3+C11</f>
        <v>8</v>
      </c>
      <c r="K47">
        <f t="shared" si="73"/>
        <v>2</v>
      </c>
      <c r="L47">
        <f t="shared" si="73"/>
        <v>10</v>
      </c>
      <c r="M47">
        <f t="shared" si="73"/>
        <v>8</v>
      </c>
      <c r="N47">
        <f t="shared" ref="N47:N48" si="74">PRODUCT(I47:M47)</f>
        <v>5120</v>
      </c>
      <c r="O47">
        <f>N47-N48</f>
        <v>5088</v>
      </c>
      <c r="P47" s="7">
        <f>O47/$B$19</f>
        <v>4.851054326316695E-5</v>
      </c>
      <c r="Q47" s="7">
        <f>P47*$A$22</f>
        <v>9.7021086526333906E-4</v>
      </c>
      <c r="R47" s="7">
        <f>Q47*$B$33</f>
        <v>2.4255271631583475E-2</v>
      </c>
      <c r="S47" s="51">
        <f>R47/$B$22</f>
        <v>2.4255271631583473E-3</v>
      </c>
    </row>
    <row r="48" spans="1:34">
      <c r="H48" t="s">
        <v>283</v>
      </c>
      <c r="I48">
        <f>B3</f>
        <v>2</v>
      </c>
      <c r="J48">
        <f t="shared" ref="J48:M48" si="75">C3</f>
        <v>2</v>
      </c>
      <c r="K48">
        <f t="shared" si="75"/>
        <v>2</v>
      </c>
      <c r="L48">
        <f t="shared" si="75"/>
        <v>2</v>
      </c>
      <c r="M48">
        <f t="shared" si="75"/>
        <v>2</v>
      </c>
      <c r="N48">
        <f t="shared" si="74"/>
        <v>32</v>
      </c>
      <c r="P48" s="7"/>
      <c r="Q48" s="7"/>
      <c r="R48" s="7"/>
    </row>
    <row r="49" spans="8:19">
      <c r="H49" s="8" t="s">
        <v>57</v>
      </c>
      <c r="I49" s="8">
        <f>B3+B11</f>
        <v>4</v>
      </c>
      <c r="J49" s="8">
        <f t="shared" ref="J49:L49" si="76">C3+C11</f>
        <v>8</v>
      </c>
      <c r="K49" s="8">
        <f t="shared" si="76"/>
        <v>2</v>
      </c>
      <c r="L49" s="8">
        <f t="shared" si="76"/>
        <v>10</v>
      </c>
      <c r="M49" s="8">
        <f>$F$18-$F$3-$F$11</f>
        <v>44</v>
      </c>
      <c r="N49" s="8">
        <f t="shared" ref="N49:N50" si="77">PRODUCT(I49:M49)</f>
        <v>28160</v>
      </c>
      <c r="O49" s="8">
        <f>N49-N50</f>
        <v>27456</v>
      </c>
      <c r="P49" s="9">
        <f>O49/$B$19</f>
        <v>2.6177387496727824E-4</v>
      </c>
      <c r="Q49" s="9">
        <f>P49*$A$22</f>
        <v>5.2354774993455646E-3</v>
      </c>
      <c r="R49" s="9">
        <f>Q49*$C$33</f>
        <v>2.6177387496727822E-2</v>
      </c>
      <c r="S49" s="52">
        <f>R49/$B$22</f>
        <v>2.6177387496727823E-3</v>
      </c>
    </row>
    <row r="50" spans="8:19">
      <c r="H50" s="8" t="s">
        <v>301</v>
      </c>
      <c r="I50" s="8">
        <f>B3</f>
        <v>2</v>
      </c>
      <c r="J50" s="8">
        <f t="shared" ref="J50:L50" si="78">C3</f>
        <v>2</v>
      </c>
      <c r="K50" s="8">
        <f t="shared" si="78"/>
        <v>2</v>
      </c>
      <c r="L50" s="8">
        <f t="shared" si="78"/>
        <v>2</v>
      </c>
      <c r="M50" s="8">
        <f>$F$18-$F$3-$F$11</f>
        <v>44</v>
      </c>
      <c r="N50" s="8">
        <f t="shared" si="77"/>
        <v>704</v>
      </c>
      <c r="O50" s="8"/>
      <c r="P50" s="9"/>
      <c r="Q50" s="9"/>
      <c r="R50" s="9"/>
      <c r="S50" s="52"/>
    </row>
    <row r="51" spans="8:19">
      <c r="H51" t="s">
        <v>58</v>
      </c>
      <c r="I51">
        <f>B3+B11</f>
        <v>4</v>
      </c>
      <c r="J51">
        <f t="shared" ref="J51:K51" si="79">C3+C11</f>
        <v>8</v>
      </c>
      <c r="K51">
        <f t="shared" si="79"/>
        <v>2</v>
      </c>
      <c r="L51">
        <f>$E$18-$E$3-$E$11</f>
        <v>36</v>
      </c>
      <c r="M51">
        <f>$F$18</f>
        <v>52</v>
      </c>
      <c r="N51">
        <f t="shared" ref="N51:N58" si="80">PRODUCT(I51:M51)</f>
        <v>119808</v>
      </c>
      <c r="O51">
        <f>N51-N52</f>
        <v>104832</v>
      </c>
      <c r="P51" s="7">
        <f>O51/$B$19</f>
        <v>9.9950024987506244E-4</v>
      </c>
      <c r="Q51" s="7">
        <f>P51*$A$22</f>
        <v>1.9990004997501247E-2</v>
      </c>
      <c r="R51" s="7">
        <f>Q51*$D$33</f>
        <v>3.9980009995002494E-2</v>
      </c>
      <c r="S51" s="51">
        <f>R51/$B$22</f>
        <v>3.9980009995002497E-3</v>
      </c>
    </row>
    <row r="52" spans="8:19">
      <c r="H52" t="s">
        <v>302</v>
      </c>
      <c r="I52">
        <f>B3</f>
        <v>2</v>
      </c>
      <c r="J52">
        <f t="shared" ref="J52:K52" si="81">C3</f>
        <v>2</v>
      </c>
      <c r="K52">
        <f t="shared" si="81"/>
        <v>2</v>
      </c>
      <c r="L52">
        <f>$E$18-$E$3-$E$11</f>
        <v>36</v>
      </c>
      <c r="M52">
        <f>$F$18</f>
        <v>52</v>
      </c>
      <c r="N52">
        <f t="shared" si="80"/>
        <v>14976</v>
      </c>
      <c r="P52" s="7"/>
      <c r="Q52" s="7"/>
      <c r="R52" s="7"/>
    </row>
    <row r="53" spans="8:19">
      <c r="H53" s="8" t="s">
        <v>59</v>
      </c>
      <c r="I53" s="8">
        <f>B3+B12</f>
        <v>4</v>
      </c>
      <c r="J53" s="8">
        <f t="shared" ref="J53:M53" si="82">C3+C12</f>
        <v>8</v>
      </c>
      <c r="K53" s="8">
        <f t="shared" si="82"/>
        <v>2</v>
      </c>
      <c r="L53" s="8">
        <f t="shared" si="82"/>
        <v>6</v>
      </c>
      <c r="M53" s="8">
        <f t="shared" si="82"/>
        <v>8</v>
      </c>
      <c r="N53" s="8">
        <f t="shared" si="80"/>
        <v>3072</v>
      </c>
      <c r="O53" s="8">
        <f>N53-N54</f>
        <v>3040</v>
      </c>
      <c r="P53" s="9">
        <f>O53/$B$19</f>
        <v>2.8984286855351324E-5</v>
      </c>
      <c r="Q53" s="9">
        <f>P53*$A$22</f>
        <v>5.7968573710702649E-4</v>
      </c>
      <c r="R53" s="9">
        <f>Q53*$B$34</f>
        <v>1.4492143427675663E-2</v>
      </c>
      <c r="S53" s="52">
        <f>R53/$B$22</f>
        <v>1.4492143427675664E-3</v>
      </c>
    </row>
    <row r="54" spans="8:19">
      <c r="H54" s="8" t="s">
        <v>283</v>
      </c>
      <c r="I54" s="8">
        <f>B3</f>
        <v>2</v>
      </c>
      <c r="J54" s="8">
        <f t="shared" ref="J54:M54" si="83">C3</f>
        <v>2</v>
      </c>
      <c r="K54" s="8">
        <f t="shared" si="83"/>
        <v>2</v>
      </c>
      <c r="L54" s="8">
        <f t="shared" si="83"/>
        <v>2</v>
      </c>
      <c r="M54" s="8">
        <f t="shared" si="83"/>
        <v>2</v>
      </c>
      <c r="N54" s="8">
        <f t="shared" si="80"/>
        <v>32</v>
      </c>
      <c r="O54" s="8"/>
      <c r="P54" s="9"/>
      <c r="Q54" s="9"/>
      <c r="R54" s="9"/>
      <c r="S54" s="52"/>
    </row>
    <row r="55" spans="8:19">
      <c r="H55" t="s">
        <v>60</v>
      </c>
      <c r="I55">
        <f>B3+B12</f>
        <v>4</v>
      </c>
      <c r="J55">
        <f t="shared" ref="J55:L55" si="84">C3+C12</f>
        <v>8</v>
      </c>
      <c r="K55">
        <f t="shared" si="84"/>
        <v>2</v>
      </c>
      <c r="L55">
        <f t="shared" si="84"/>
        <v>6</v>
      </c>
      <c r="M55">
        <f>$F$18-$F$3-$F$12</f>
        <v>44</v>
      </c>
      <c r="N55">
        <f t="shared" si="80"/>
        <v>16896</v>
      </c>
      <c r="O55">
        <f>N55-N56</f>
        <v>16192</v>
      </c>
      <c r="P55" s="7">
        <f>O55/$B$19</f>
        <v>1.5437946472429231E-4</v>
      </c>
      <c r="Q55" s="7">
        <f>P55*$A$22</f>
        <v>3.0875892944858463E-3</v>
      </c>
      <c r="R55" s="7">
        <f>Q55*$C$34</f>
        <v>1.5437946472429232E-2</v>
      </c>
      <c r="S55" s="51">
        <f>R55/$B$22</f>
        <v>1.5437946472429231E-3</v>
      </c>
    </row>
    <row r="56" spans="8:19">
      <c r="H56" t="s">
        <v>303</v>
      </c>
      <c r="I56">
        <f>B3</f>
        <v>2</v>
      </c>
      <c r="J56">
        <f t="shared" ref="J56:L56" si="85">C3</f>
        <v>2</v>
      </c>
      <c r="K56">
        <f t="shared" si="85"/>
        <v>2</v>
      </c>
      <c r="L56">
        <f t="shared" si="85"/>
        <v>2</v>
      </c>
      <c r="M56">
        <f>$F$18-$F$3-$F$12</f>
        <v>44</v>
      </c>
      <c r="N56">
        <f t="shared" si="80"/>
        <v>704</v>
      </c>
      <c r="P56" s="7"/>
      <c r="Q56" s="7"/>
      <c r="R56" s="7"/>
    </row>
    <row r="57" spans="8:19">
      <c r="H57" s="8" t="s">
        <v>61</v>
      </c>
      <c r="I57" s="8">
        <f>B3+B12</f>
        <v>4</v>
      </c>
      <c r="J57" s="8">
        <f t="shared" ref="J57:K57" si="86">C3+C12</f>
        <v>8</v>
      </c>
      <c r="K57" s="8">
        <f t="shared" si="86"/>
        <v>2</v>
      </c>
      <c r="L57" s="8">
        <f>$E$18-$E$3-$E$12</f>
        <v>40</v>
      </c>
      <c r="M57" s="8">
        <f>$F$18</f>
        <v>52</v>
      </c>
      <c r="N57" s="8">
        <f t="shared" si="80"/>
        <v>133120</v>
      </c>
      <c r="O57" s="8">
        <f>N57-N58</f>
        <v>116480</v>
      </c>
      <c r="P57" s="9">
        <f>O57/$B$19</f>
        <v>1.1105558331945139E-3</v>
      </c>
      <c r="Q57" s="9">
        <f>P57*$A$22</f>
        <v>2.2211116663890279E-2</v>
      </c>
      <c r="R57" s="9">
        <f>Q57*$D$34</f>
        <v>4.4422233327780558E-2</v>
      </c>
      <c r="S57" s="52">
        <f>R57/$B$22</f>
        <v>4.4422233327780555E-3</v>
      </c>
    </row>
    <row r="58" spans="8:19">
      <c r="H58" s="8" t="s">
        <v>304</v>
      </c>
      <c r="I58" s="8">
        <f>B3</f>
        <v>2</v>
      </c>
      <c r="J58" s="8">
        <f t="shared" ref="J58:K58" si="87">C3</f>
        <v>2</v>
      </c>
      <c r="K58" s="8">
        <f t="shared" si="87"/>
        <v>2</v>
      </c>
      <c r="L58" s="8">
        <f>$E$18-$E$3-$E$12</f>
        <v>40</v>
      </c>
      <c r="M58" s="8">
        <f>$F$18</f>
        <v>52</v>
      </c>
      <c r="N58" s="8">
        <f t="shared" si="80"/>
        <v>16640</v>
      </c>
      <c r="O58" s="8"/>
      <c r="P58" s="9"/>
      <c r="Q58" s="9"/>
      <c r="R58" s="9"/>
      <c r="S58" s="52"/>
    </row>
    <row r="59" spans="8:19">
      <c r="S59" s="51">
        <f>SUM(S2:S57)</f>
        <v>0.22064349388187474</v>
      </c>
    </row>
  </sheetData>
  <mergeCells count="2">
    <mergeCell ref="A1:F1"/>
    <mergeCell ref="B19:F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4</vt:i4>
      </vt:variant>
    </vt:vector>
  </HeadingPairs>
  <TitlesOfParts>
    <vt:vector size="14" baseType="lpstr">
      <vt:lpstr>Step-1</vt:lpstr>
      <vt:lpstr>Step-2</vt:lpstr>
      <vt:lpstr>Step-2B</vt:lpstr>
      <vt:lpstr>Step-3</vt:lpstr>
      <vt:lpstr>Step-4</vt:lpstr>
      <vt:lpstr>Step-5</vt:lpstr>
      <vt:lpstr>Step-6</vt:lpstr>
      <vt:lpstr>Step-7</vt:lpstr>
      <vt:lpstr>Step-7-2</vt:lpstr>
      <vt:lpstr>Step-9-AllRSNotWilds</vt:lpstr>
      <vt:lpstr>NonLinePayTable</vt:lpstr>
      <vt:lpstr>NumRows</vt:lpstr>
      <vt:lpstr>Paytable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Li</dc:creator>
  <cp:lastModifiedBy>Roger Li</cp:lastModifiedBy>
  <dcterms:created xsi:type="dcterms:W3CDTF">2015-06-05T18:17:20Z</dcterms:created>
  <dcterms:modified xsi:type="dcterms:W3CDTF">2026-03-03T08:51:16Z</dcterms:modified>
</cp:coreProperties>
</file>